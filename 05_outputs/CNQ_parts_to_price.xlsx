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Parts to price" sheetId="2" state="visible" r:id="rId4"/>
    <sheet name="NC detail" sheetId="3" state="visible" r:id="rId5"/>
    <sheet name="Not charged to FTO2" sheetId="4" state="visible" r:id="rId6"/>
  </sheets>
  <definedNames>
    <definedName function="false" hidden="true" localSheetId="2" name="_xlnm._FilterDatabase" vbProcedure="false">'NC detail'!$A$1:$R$133</definedName>
    <definedName function="false" hidden="true" localSheetId="3" name="_xlnm._FilterDatabase" vbProcedure="false">'Not charged to FTO2'!$A$1:$H$113</definedName>
    <definedName function="false" hidden="true" localSheetId="1" name="_xlnm._FilterDatabase" vbProcedure="false">'Parts to price'!$A$1:$O$92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SAP defect quantity of each NC, summed. 1 on almost every NC: check when several parts were replaced.</t>
        </r>
      </text>
    </comment>
    <comment ref="M1" authorId="0">
      <text>
        <r>
          <rPr>
            <sz val="10"/>
            <rFont val="Arial"/>
            <family val="2"/>
          </rPr>
          <t xml:space="preserve">Fill in: price of one part in euros (SAP standard price or purchase price).</t>
        </r>
      </text>
    </comment>
  </commentList>
</comments>
</file>

<file path=xl/sharedStrings.xml><?xml version="1.0" encoding="utf-8"?>
<sst xmlns="http://schemas.openxmlformats.org/spreadsheetml/2006/main" count="3588" uniqueCount="1198">
  <si>
    <t xml:space="preserve">CNQ – parts to price</t>
  </si>
  <si>
    <t xml:space="preserve">What this is</t>
  </si>
  <si>
    <t xml:space="preserve">The cost model counts the value of the part on rejections (REJ), rejections with a rework order (REJ_RW), exchanges (EXC) and scraps (SCR) where FTO2 is liable. Today that value is 0 because no price is known.</t>
  </si>
  <si>
    <t xml:space="preserve">132 NCs need a part price. They come down to 91 parts: 60 with a reference written in the NC, 18 with only a FIN, 13 to identify from the NC's wording.</t>
  </si>
  <si>
    <t xml:space="preserve">Source: NC exports of 12 Oct 2026 (fto2_dashboard_data_12 and _missing_ids_3), decisions and liability as in the dashboard (NCs created in 2026, every phase).</t>
  </si>
  <si>
    <t xml:space="preserve">How the part was found</t>
  </si>
  <si>
    <t xml:space="preserve">The reference is read from the NC title and long text (NSA, ABS, ASNA, NAS, EN, E0…, 14-character Airbus articles, 10-digit references). When none is written, the FIN is used; otherwise the part is listed as the NC names it.</t>
  </si>
  <si>
    <t xml:space="preserve">The SAP article on the NC is mostly the assembly being built (a VU or a routing), not the rejected part. It is shown in 'NC detail' for reference only.</t>
  </si>
  <si>
    <t xml:space="preserve">This is an automatic reading of the texts: check the reference before asking for a price.</t>
  </si>
  <si>
    <t xml:space="preserve">What to fill in</t>
  </si>
  <si>
    <t xml:space="preserve">Sheet 'Parts to price', yellow cells only: Unit price (€) and Price source. Part value = unit price × quantity.</t>
  </si>
  <si>
    <t xml:space="preserve">Sheet 'NC detail' picks the price up by itself. Its 'Part value (€)' column is what the cost model reads as part_value.</t>
  </si>
  <si>
    <t xml:space="preserve">Example of the expected format (not a real price): Unit price 65.40 · Price source 'SAP standard price, Oct 2026'.</t>
  </si>
  <si>
    <t xml:space="preserve">To decide before using the values</t>
  </si>
  <si>
    <t xml:space="preserve">Quantity is the SAP defect quantity (1 on almost every NC). Check it when several parts were replaced.</t>
  </si>
  <si>
    <t xml:space="preserve">An exchanged part returned under warranty may not cost its full price.</t>
  </si>
  <si>
    <t xml:space="preserve">REJ_RW NCs are also charged the rework time: keep both only if the part was really thrown away and reworked.</t>
  </si>
  <si>
    <t xml:space="preserve">NCs where FTO2 is not liable cost 0 in the model; they are listed in 'Not charged to FTO2' for completeness (112 NCs).</t>
  </si>
  <si>
    <t xml:space="preserve">Part reference / FIN / name</t>
  </si>
  <si>
    <t xml:space="preserve">Found as</t>
  </si>
  <si>
    <t xml:space="preserve">Part (as named in the NC)</t>
  </si>
  <si>
    <t xml:space="preserve">NCs</t>
  </si>
  <si>
    <t xml:space="preserve">MSNs</t>
  </si>
  <si>
    <t xml:space="preserve">Quantity</t>
  </si>
  <si>
    <t xml:space="preserve">Decisions</t>
  </si>
  <si>
    <t xml:space="preserve">Products</t>
  </si>
  <si>
    <t xml:space="preserve">Lines</t>
  </si>
  <si>
    <t xml:space="preserve">First NC</t>
  </si>
  <si>
    <t xml:space="preserve">Last NC</t>
  </si>
  <si>
    <t xml:space="preserve">NC numbers</t>
  </si>
  <si>
    <t xml:space="preserve">Unit price (€)</t>
  </si>
  <si>
    <t xml:space="preserve">Price source</t>
  </si>
  <si>
    <t xml:space="preserve">Part value (€)</t>
  </si>
  <si>
    <t xml:space="preserve">NSA932844CN</t>
  </si>
  <si>
    <t xml:space="preserve">Reference in text</t>
  </si>
  <si>
    <t xml:space="preserve">SOCLE DE RACCORDEMENT ABIME</t>
  </si>
  <si>
    <t xml:space="preserve">REJ_RW 4, REJ 1</t>
  </si>
  <si>
    <t xml:space="preserve">740VU</t>
  </si>
  <si>
    <t xml:space="preserve">A330</t>
  </si>
  <si>
    <t xml:space="preserve">2026-01-07</t>
  </si>
  <si>
    <t xml:space="preserve">2026-04-28</t>
  </si>
  <si>
    <t xml:space="preserve">216060124 216575897 216602069 217107871 217149659</t>
  </si>
  <si>
    <t xml:space="preserve">MANQUE TROU DE FIXATION ETEC 115VU</t>
  </si>
  <si>
    <t xml:space="preserve">To identify</t>
  </si>
  <si>
    <t xml:space="preserve">Manque trou de fixation ETEC 115VU</t>
  </si>
  <si>
    <t xml:space="preserve">REJ 4, REJ_RW 1</t>
  </si>
  <si>
    <t xml:space="preserve">PTVU</t>
  </si>
  <si>
    <t xml:space="preserve">2026-07-15</t>
  </si>
  <si>
    <t xml:space="preserve">2026-09-15</t>
  </si>
  <si>
    <t xml:space="preserve">217860541 217862026 217895101 217986779 218276828</t>
  </si>
  <si>
    <t xml:space="preserve">EN3646A02461AN</t>
  </si>
  <si>
    <t xml:space="preserve">CONNECTEUR borne ne verrouille pas</t>
  </si>
  <si>
    <t xml:space="preserve">REJ 3, REJ_RW 1</t>
  </si>
  <si>
    <t xml:space="preserve">2026-04-02</t>
  </si>
  <si>
    <t xml:space="preserve">2026-06-17</t>
  </si>
  <si>
    <t xml:space="preserve">216915228 216931836 216943435 217584208</t>
  </si>
  <si>
    <t xml:space="preserve">6325010000</t>
  </si>
  <si>
    <t xml:space="preserve">DECOUPLING UNIT CASSE</t>
  </si>
  <si>
    <t xml:space="preserve">REJ_RW 3</t>
  </si>
  <si>
    <t xml:space="preserve">2026-01-09</t>
  </si>
  <si>
    <t xml:space="preserve">216088280 216605359 217149326</t>
  </si>
  <si>
    <t xml:space="preserve">ABS0064-01</t>
  </si>
  <si>
    <t xml:space="preserve">BOUTON POUSSOIR INCOMPLET</t>
  </si>
  <si>
    <t xml:space="preserve">REJ_RW 2, REJ 1</t>
  </si>
  <si>
    <t xml:space="preserve">2026-04-23</t>
  </si>
  <si>
    <t xml:space="preserve">2026-04-27</t>
  </si>
  <si>
    <t xml:space="preserve">217109331 217112253 217139270</t>
  </si>
  <si>
    <t xml:space="preserve">ABS1424-3-10</t>
  </si>
  <si>
    <t xml:space="preserve">Colonnette de la structure du MIP cassée</t>
  </si>
  <si>
    <t xml:space="preserve">EXC 3</t>
  </si>
  <si>
    <t xml:space="preserve">MIP A350, Other</t>
  </si>
  <si>
    <t xml:space="preserve">A350</t>
  </si>
  <si>
    <t xml:space="preserve">2026-03-03</t>
  </si>
  <si>
    <t xml:space="preserve">2026-07-02</t>
  </si>
  <si>
    <t xml:space="preserve">216609710 217040142 217749687</t>
  </si>
  <si>
    <t xml:space="preserve">ABS1650-02</t>
  </si>
  <si>
    <t xml:space="preserve">CABLES ABIMES SUR OPTICAL ENCODER</t>
  </si>
  <si>
    <t xml:space="preserve">2026-04-07</t>
  </si>
  <si>
    <t xml:space="preserve">2026-06-19</t>
  </si>
  <si>
    <t xml:space="preserve">216943511 217613680 217613893</t>
  </si>
  <si>
    <t xml:space="preserve">ASNA2328-3-4</t>
  </si>
  <si>
    <t xml:space="preserve">Other</t>
  </si>
  <si>
    <t xml:space="preserve">2026-01-20</t>
  </si>
  <si>
    <t xml:space="preserve">2026-02-09</t>
  </si>
  <si>
    <t xml:space="preserve">216177953 216247653 216376660</t>
  </si>
  <si>
    <t xml:space="preserve">E0062D1S4BA0A</t>
  </si>
  <si>
    <t xml:space="preserve">BORNE HS SUR SWITCH OVER</t>
  </si>
  <si>
    <t xml:space="preserve">2026-06-16</t>
  </si>
  <si>
    <t xml:space="preserve">2026-09-24</t>
  </si>
  <si>
    <t xml:space="preserve">217571217 218307795 218376253</t>
  </si>
  <si>
    <t xml:space="preserve">E0062E2D4AC0A</t>
  </si>
  <si>
    <t xml:space="preserve">BORNE NE VERROUILLE PAS</t>
  </si>
  <si>
    <t xml:space="preserve">REJ 3</t>
  </si>
  <si>
    <t xml:space="preserve">2026-01-28</t>
  </si>
  <si>
    <t xml:space="preserve">2026-03-10</t>
  </si>
  <si>
    <t xml:space="preserve">216265972 216336723 216669205</t>
  </si>
  <si>
    <t xml:space="preserve">E0682-01</t>
  </si>
  <si>
    <t xml:space="preserve">Borne 1 HS sur équipement E0682-01</t>
  </si>
  <si>
    <t xml:space="preserve">2026-04-15</t>
  </si>
  <si>
    <t xml:space="preserve">217026822 218227645 218376309</t>
  </si>
  <si>
    <t xml:space="preserve">614VU STRUCTURE ENDOMMAGEE</t>
  </si>
  <si>
    <t xml:space="preserve">2026-08-21</t>
  </si>
  <si>
    <t xml:space="preserve">217590666 218058588 218056243</t>
  </si>
  <si>
    <t xml:space="preserve">COMPOSANT SCRAPE</t>
  </si>
  <si>
    <t xml:space="preserve">2026-01-23</t>
  </si>
  <si>
    <t xml:space="preserve">216227502 216227907 216228052</t>
  </si>
  <si>
    <t xml:space="preserve">6330420000</t>
  </si>
  <si>
    <t xml:space="preserve">ERGOT WARNING HORN H.S.</t>
  </si>
  <si>
    <t xml:space="preserve">REJ_RW 1, REJ 1</t>
  </si>
  <si>
    <t xml:space="preserve">Other, PTVU</t>
  </si>
  <si>
    <t xml:space="preserve">2026-03-12</t>
  </si>
  <si>
    <t xml:space="preserve">216701404 17063910</t>
  </si>
  <si>
    <t xml:space="preserve">ABS1650-03</t>
  </si>
  <si>
    <t xml:space="preserve">BOUTON OPTICAL ENCODEUR HS</t>
  </si>
  <si>
    <t xml:space="preserve">REJ 1, REJ_RW 1</t>
  </si>
  <si>
    <t xml:space="preserve">2026-04-08</t>
  </si>
  <si>
    <t xml:space="preserve">216958097 218388588</t>
  </si>
  <si>
    <t xml:space="preserve">ASNA2327-3-3</t>
  </si>
  <si>
    <t xml:space="preserve">Ecrou riveté endommagé sur la structure</t>
  </si>
  <si>
    <t xml:space="preserve">EXC 2</t>
  </si>
  <si>
    <t xml:space="preserve">2026-03-18</t>
  </si>
  <si>
    <t xml:space="preserve">216758388 218277387</t>
  </si>
  <si>
    <t xml:space="preserve">E0053R14B19PNF</t>
  </si>
  <si>
    <t xml:space="preserve">Enfichage prise 681VC impossible</t>
  </si>
  <si>
    <t xml:space="preserve">2026-06-26</t>
  </si>
  <si>
    <t xml:space="preserve">216914342 217687557</t>
  </si>
  <si>
    <t xml:space="preserve">E0239D5A</t>
  </si>
  <si>
    <t xml:space="preserve">BORNE 1A NE VERROUILLE PAS</t>
  </si>
  <si>
    <t xml:space="preserve">2026-06-03</t>
  </si>
  <si>
    <t xml:space="preserve">2026-09-21</t>
  </si>
  <si>
    <t xml:space="preserve">217446552 218333064</t>
  </si>
  <si>
    <t xml:space="preserve">F9251529400000</t>
  </si>
  <si>
    <t xml:space="preserve">FILETAGE ECROU SUPPORT PRISE H.S.</t>
  </si>
  <si>
    <t xml:space="preserve">743VU</t>
  </si>
  <si>
    <t xml:space="preserve">2026-01-05</t>
  </si>
  <si>
    <t xml:space="preserve">2026-04-29</t>
  </si>
  <si>
    <t xml:space="preserve">216037622 217162621</t>
  </si>
  <si>
    <t xml:space="preserve">NSA933620-111</t>
  </si>
  <si>
    <t xml:space="preserve">Ailette tordue sur voyant rectangulaire</t>
  </si>
  <si>
    <t xml:space="preserve">217448134 217739535</t>
  </si>
  <si>
    <t xml:space="preserve">V9241843400000</t>
  </si>
  <si>
    <t xml:space="preserve">Numéro de serie effacé de la platine</t>
  </si>
  <si>
    <t xml:space="preserve">REJ 2</t>
  </si>
  <si>
    <t xml:space="preserve">MIP A350</t>
  </si>
  <si>
    <t xml:space="preserve">2026-01-19</t>
  </si>
  <si>
    <t xml:space="preserve">216164096 217134193</t>
  </si>
  <si>
    <t xml:space="preserve">V9241948700000</t>
  </si>
  <si>
    <t xml:space="preserve">RAMPE SOUDEE ENDOMMAGEE</t>
  </si>
  <si>
    <t xml:space="preserve">2026-04-01</t>
  </si>
  <si>
    <t xml:space="preserve">2026-06-18</t>
  </si>
  <si>
    <t xml:space="preserve">216905392 217607114</t>
  </si>
  <si>
    <t xml:space="preserve">FIN 153RH</t>
  </si>
  <si>
    <t xml:space="preserve">FIN only</t>
  </si>
  <si>
    <t xml:space="preserve">WARNING HORN DETROMPAGE HS</t>
  </si>
  <si>
    <t xml:space="preserve">217600000 17232524</t>
  </si>
  <si>
    <t xml:space="preserve">6325011700</t>
  </si>
  <si>
    <t xml:space="preserve">MANQUE ECROU SUR BASE CONTACTEUR</t>
  </si>
  <si>
    <t xml:space="preserve">REJ 1</t>
  </si>
  <si>
    <t xml:space="preserve">2026-02-06</t>
  </si>
  <si>
    <t xml:space="preserve">216364146</t>
  </si>
  <si>
    <t xml:space="preserve">6325018500</t>
  </si>
  <si>
    <t xml:space="preserve">VU/BUTTON/MECA</t>
  </si>
  <si>
    <t xml:space="preserve">REJ_RW 1</t>
  </si>
  <si>
    <t xml:space="preserve">2026-08-20</t>
  </si>
  <si>
    <t xml:space="preserve">218048183</t>
  </si>
  <si>
    <t xml:space="preserve">6374843100</t>
  </si>
  <si>
    <t xml:space="preserve">ETEC 417LF NON CONFORME</t>
  </si>
  <si>
    <t xml:space="preserve">2026-05-21</t>
  </si>
  <si>
    <t xml:space="preserve">217344532</t>
  </si>
  <si>
    <t xml:space="preserve">6374865800</t>
  </si>
  <si>
    <t xml:space="preserve">INTEGRALLY LIGHTED PLATE HS</t>
  </si>
  <si>
    <t xml:space="preserve">414VU</t>
  </si>
  <si>
    <t xml:space="preserve">216064934</t>
  </si>
  <si>
    <t xml:space="preserve">6374867600</t>
  </si>
  <si>
    <t xml:space="preserve">INTEGRALLY LIGHTED PLATE H.S.</t>
  </si>
  <si>
    <t xml:space="preserve">216704810</t>
  </si>
  <si>
    <t xml:space="preserve">ABS0951B3LM002</t>
  </si>
  <si>
    <t xml:space="preserve">INDICATEUR ABS0951B3LM002 H.S.</t>
  </si>
  <si>
    <t xml:space="preserve">216758007</t>
  </si>
  <si>
    <t xml:space="preserve">ABS0951B3LP114</t>
  </si>
  <si>
    <t xml:space="preserve">INDICATEUR ENDOMMAGE</t>
  </si>
  <si>
    <t xml:space="preserve">2026-05-11</t>
  </si>
  <si>
    <t xml:space="preserve">217253448</t>
  </si>
  <si>
    <t xml:space="preserve">ABS0971-003A01</t>
  </si>
  <si>
    <t xml:space="preserve">CABLE COURT SUITE ERREUR SERTISSAGE</t>
  </si>
  <si>
    <t xml:space="preserve">217447449</t>
  </si>
  <si>
    <t xml:space="preserve">ABS1551L4AD0A</t>
  </si>
  <si>
    <t xml:space="preserve">EQUIPEMENT ENDOMMAGE</t>
  </si>
  <si>
    <t xml:space="preserve">2026-03-26</t>
  </si>
  <si>
    <t xml:space="preserve">216846510</t>
  </si>
  <si>
    <t xml:space="preserve">ABS1896A08E</t>
  </si>
  <si>
    <t xml:space="preserve">Backshell abimé lors du torquage</t>
  </si>
  <si>
    <t xml:space="preserve">2026-07-22</t>
  </si>
  <si>
    <t xml:space="preserve">217921499</t>
  </si>
  <si>
    <t xml:space="preserve">E0053R18B32PNF</t>
  </si>
  <si>
    <t xml:space="preserve">CONNECTEUR E0053R18B32PNF H.S</t>
  </si>
  <si>
    <t xml:space="preserve">2026-08-24</t>
  </si>
  <si>
    <t xml:space="preserve">218070027</t>
  </si>
  <si>
    <t xml:space="preserve">E0053RI8B32PNF</t>
  </si>
  <si>
    <t xml:space="preserve">Grommets endommagés</t>
  </si>
  <si>
    <t xml:space="preserve">216369423</t>
  </si>
  <si>
    <t xml:space="preserve">E0062A0S4BJOA</t>
  </si>
  <si>
    <t xml:space="preserve">SWITCH-OVER ENDOMMAGE</t>
  </si>
  <si>
    <t xml:space="preserve">2026-02-13</t>
  </si>
  <si>
    <t xml:space="preserve">216431918</t>
  </si>
  <si>
    <t xml:space="preserve">E0062B1G4AD0A</t>
  </si>
  <si>
    <t xml:space="preserve">INVERSEUR H.S.</t>
  </si>
  <si>
    <t xml:space="preserve">2026-07-21</t>
  </si>
  <si>
    <t xml:space="preserve">217913295</t>
  </si>
  <si>
    <t xml:space="preserve">E017B01E00</t>
  </si>
  <si>
    <t xml:space="preserve">MICROSWITCH ENDOMMAGE</t>
  </si>
  <si>
    <t xml:space="preserve">2026-03-05</t>
  </si>
  <si>
    <t xml:space="preserve">216627760</t>
  </si>
  <si>
    <t xml:space="preserve">E0217XUU001A</t>
  </si>
  <si>
    <t xml:space="preserve">VIS TORDUE SUR RELAIS</t>
  </si>
  <si>
    <t xml:space="preserve">2026-05-05</t>
  </si>
  <si>
    <t xml:space="preserve">217203646</t>
  </si>
  <si>
    <t xml:space="preserve">E0219AS</t>
  </si>
  <si>
    <t xml:space="preserve">Socle relais 4XE taraudage endommagé</t>
  </si>
  <si>
    <t xml:space="preserve">217205879</t>
  </si>
  <si>
    <t xml:space="preserve">E0245</t>
  </si>
  <si>
    <t xml:space="preserve">Filetage vis relais incorrect</t>
  </si>
  <si>
    <t xml:space="preserve">2026-05-26</t>
  </si>
  <si>
    <t xml:space="preserve">217368374</t>
  </si>
  <si>
    <t xml:space="preserve">E0311A0S</t>
  </si>
  <si>
    <t xml:space="preserve">Gromet endommagé sur Socket</t>
  </si>
  <si>
    <t xml:space="preserve">216945078</t>
  </si>
  <si>
    <t xml:space="preserve">E0330-01</t>
  </si>
  <si>
    <t xml:space="preserve">EQUIPEMENT E0330-01 ENDOMMAGE</t>
  </si>
  <si>
    <t xml:space="preserve">2026-09-03</t>
  </si>
  <si>
    <t xml:space="preserve">218166898</t>
  </si>
  <si>
    <t xml:space="preserve">E0419A6</t>
  </si>
  <si>
    <t xml:space="preserve">RETOUCHE CONTROLE FINAL</t>
  </si>
  <si>
    <t xml:space="preserve">2026-07-17</t>
  </si>
  <si>
    <t xml:space="preserve">217890692</t>
  </si>
  <si>
    <t xml:space="preserve">EN3646A01419AW</t>
  </si>
  <si>
    <t xml:space="preserve">Borne H ne verrouille pas</t>
  </si>
  <si>
    <t xml:space="preserve">2026-02-17</t>
  </si>
  <si>
    <t xml:space="preserve">216459539</t>
  </si>
  <si>
    <t xml:space="preserve">EN3646A02255AN</t>
  </si>
  <si>
    <t xml:space="preserve">Borne K HS SUR CONNECTEUR VC</t>
  </si>
  <si>
    <t xml:space="preserve">217685208</t>
  </si>
  <si>
    <t xml:space="preserve">F1131202300000</t>
  </si>
  <si>
    <t xml:space="preserve">LOT ETIQUETTE 740VU INCOMPLET</t>
  </si>
  <si>
    <t xml:space="preserve">2026-06-05</t>
  </si>
  <si>
    <t xml:space="preserve">217475055</t>
  </si>
  <si>
    <t xml:space="preserve">F1131365000000</t>
  </si>
  <si>
    <t xml:space="preserve">Lot etiquettes foctions non conforme</t>
  </si>
  <si>
    <t xml:space="preserve">2026-02-05</t>
  </si>
  <si>
    <t xml:space="preserve">216350524</t>
  </si>
  <si>
    <t xml:space="preserve">F9251017700000</t>
  </si>
  <si>
    <t xml:space="preserve">STRUCTURE FACE AVANT RAYEE</t>
  </si>
  <si>
    <t xml:space="preserve">218280141</t>
  </si>
  <si>
    <t xml:space="preserve">F9251031400000</t>
  </si>
  <si>
    <t xml:space="preserve">DZUS SUR STRUCTURE 616VU ENDOMMAGE</t>
  </si>
  <si>
    <t xml:space="preserve">2026-09-04</t>
  </si>
  <si>
    <t xml:space="preserve">218185629</t>
  </si>
  <si>
    <t xml:space="preserve">F9251041800000</t>
  </si>
  <si>
    <t xml:space="preserve">Rampe endommagée</t>
  </si>
  <si>
    <t xml:space="preserve">2026-01-16</t>
  </si>
  <si>
    <t xml:space="preserve">216156635</t>
  </si>
  <si>
    <t xml:space="preserve">F9251201000000</t>
  </si>
  <si>
    <t xml:space="preserve">Filetage Rampe F9251201000000 endommagé</t>
  </si>
  <si>
    <t xml:space="preserve">216163882</t>
  </si>
  <si>
    <t xml:space="preserve">F9251369800000</t>
  </si>
  <si>
    <t xml:space="preserve">PLATINE EQUIPEE NON CONFORME</t>
  </si>
  <si>
    <t xml:space="preserve">EXC 1</t>
  </si>
  <si>
    <t xml:space="preserve">2026-01-21</t>
  </si>
  <si>
    <t xml:space="preserve">216198504</t>
  </si>
  <si>
    <t xml:space="preserve">F9251527320000</t>
  </si>
  <si>
    <t xml:space="preserve">TOLE DE FOND ENDOMMAGEE</t>
  </si>
  <si>
    <t xml:space="preserve">216899465</t>
  </si>
  <si>
    <t xml:space="preserve">F9251533600000</t>
  </si>
  <si>
    <t xml:space="preserve">Ecrou autofreine endommagé</t>
  </si>
  <si>
    <t xml:space="preserve">217577268</t>
  </si>
  <si>
    <t xml:space="preserve">NAS1836-08-11M</t>
  </si>
  <si>
    <t xml:space="preserve">DOUILLES AUTO-FREINE ENDOMMAGEES</t>
  </si>
  <si>
    <t xml:space="preserve">2026-02-11</t>
  </si>
  <si>
    <t xml:space="preserve">216406175</t>
  </si>
  <si>
    <t xml:space="preserve">NSA55194-17</t>
  </si>
  <si>
    <t xml:space="preserve">AXE A ANNEAU RABAT CASSE</t>
  </si>
  <si>
    <t xml:space="preserve">2026-02-02</t>
  </si>
  <si>
    <t xml:space="preserve">216307227</t>
  </si>
  <si>
    <t xml:space="preserve">NSA932847AA</t>
  </si>
  <si>
    <t xml:space="preserve">SOCLE DE RACCORDEMENT NSA932847AA H.S.</t>
  </si>
  <si>
    <t xml:space="preserve">2026-01-13</t>
  </si>
  <si>
    <t xml:space="preserve">216111411</t>
  </si>
  <si>
    <t xml:space="preserve">V2121552200400</t>
  </si>
  <si>
    <t xml:space="preserve">Filetage abîmé capteur 219ZCA965</t>
  </si>
  <si>
    <t xml:space="preserve">2026-09-01</t>
  </si>
  <si>
    <t xml:space="preserve">218149694</t>
  </si>
  <si>
    <t xml:space="preserve">V2121597801600</t>
  </si>
  <si>
    <t xml:space="preserve">Filetage abîmé capteur 219ZCA258</t>
  </si>
  <si>
    <t xml:space="preserve">2026-07-30</t>
  </si>
  <si>
    <t xml:space="preserve">217961371</t>
  </si>
  <si>
    <t xml:space="preserve">V2511259700000</t>
  </si>
  <si>
    <t xml:space="preserve">Tuyauterie endommagée</t>
  </si>
  <si>
    <t xml:space="preserve">2026-09-22</t>
  </si>
  <si>
    <t xml:space="preserve">218355222</t>
  </si>
  <si>
    <t xml:space="preserve">V2511508220200</t>
  </si>
  <si>
    <t xml:space="preserve">Platine Arinc endommagée</t>
  </si>
  <si>
    <t xml:space="preserve">2026-04-14</t>
  </si>
  <si>
    <t xml:space="preserve">217011468</t>
  </si>
  <si>
    <t xml:space="preserve">V9241920800000</t>
  </si>
  <si>
    <t xml:space="preserve">2026-02-26</t>
  </si>
  <si>
    <t xml:space="preserve">216558190</t>
  </si>
  <si>
    <t xml:space="preserve">V9241944600000</t>
  </si>
  <si>
    <t xml:space="preserve">2026-04-03</t>
  </si>
  <si>
    <t xml:space="preserve">216927866</t>
  </si>
  <si>
    <t xml:space="preserve">FIN 10DG2</t>
  </si>
  <si>
    <t xml:space="preserve">Retouche Test 262VU MSN 02140</t>
  </si>
  <si>
    <t xml:space="preserve">2026-05-20</t>
  </si>
  <si>
    <t xml:space="preserve">217331925</t>
  </si>
  <si>
    <t xml:space="preserve">FIN 12CE1</t>
  </si>
  <si>
    <t xml:space="preserve">Retouche Test 241VU MSN 02148</t>
  </si>
  <si>
    <t xml:space="preserve">2026-01-08</t>
  </si>
  <si>
    <t xml:space="preserve">216074010</t>
  </si>
  <si>
    <t xml:space="preserve">FIN 14MQ</t>
  </si>
  <si>
    <t xml:space="preserve">Relais 14MQ endommagé</t>
  </si>
  <si>
    <t xml:space="preserve">2026-01-06</t>
  </si>
  <si>
    <t xml:space="preserve">216052773</t>
  </si>
  <si>
    <t xml:space="preserve">FIN 15XE-A</t>
  </si>
  <si>
    <t xml:space="preserve">ESAO: GTI: 15XE-A INOP</t>
  </si>
  <si>
    <t xml:space="preserve">A320</t>
  </si>
  <si>
    <t xml:space="preserve">217037645</t>
  </si>
  <si>
    <t xml:space="preserve">FIN 17CE</t>
  </si>
  <si>
    <t xml:space="preserve">Découpleur 17CE endommagé</t>
  </si>
  <si>
    <t xml:space="preserve">217921767</t>
  </si>
  <si>
    <t xml:space="preserve">FIN 180RH</t>
  </si>
  <si>
    <t xml:space="preserve">Retouches Test 211VU MSN 02160.</t>
  </si>
  <si>
    <t xml:space="preserve">2026-06-09</t>
  </si>
  <si>
    <t xml:space="preserve">217504203</t>
  </si>
  <si>
    <t xml:space="preserve">FIN 1WK11</t>
  </si>
  <si>
    <t xml:space="preserve">Support Prisonnier détérioré</t>
  </si>
  <si>
    <t xml:space="preserve">2026-08-26</t>
  </si>
  <si>
    <t xml:space="preserve">218098372</t>
  </si>
  <si>
    <t xml:space="preserve">FIN 23FP</t>
  </si>
  <si>
    <t xml:space="preserve">RETOUCHE 23FP DEFECTUEUX</t>
  </si>
  <si>
    <t xml:space="preserve">2026-07-24</t>
  </si>
  <si>
    <t xml:space="preserve">217944847</t>
  </si>
  <si>
    <t xml:space="preserve">FIN 245LF</t>
  </si>
  <si>
    <t xml:space="preserve">ETEC EQ 245LF à remplacer</t>
  </si>
  <si>
    <t xml:space="preserve">245VU</t>
  </si>
  <si>
    <t xml:space="preserve">2026-02-04</t>
  </si>
  <si>
    <t xml:space="preserve">216341273</t>
  </si>
  <si>
    <t xml:space="preserve">FIN 27XE</t>
  </si>
  <si>
    <t xml:space="preserve">Filetage endommagé sur relais 27XE</t>
  </si>
  <si>
    <t xml:space="preserve">2026-05-28</t>
  </si>
  <si>
    <t xml:space="preserve">217394034</t>
  </si>
  <si>
    <t xml:space="preserve">FIN 30CE</t>
  </si>
  <si>
    <t xml:space="preserve">TRIM POTENTIOMETER 30CE ON 115VU</t>
  </si>
  <si>
    <t xml:space="preserve">115VU</t>
  </si>
  <si>
    <t xml:space="preserve">2026-01-29</t>
  </si>
  <si>
    <t xml:space="preserve">216286560</t>
  </si>
  <si>
    <t xml:space="preserve">FIN 311LF</t>
  </si>
  <si>
    <t xml:space="preserve">TLB ID435</t>
  </si>
  <si>
    <t xml:space="preserve">311VU</t>
  </si>
  <si>
    <t xml:space="preserve">217394622</t>
  </si>
  <si>
    <t xml:space="preserve">FIN 3DR1</t>
  </si>
  <si>
    <t xml:space="preserve">Retouche Test 513VU MSN 02172 refus.</t>
  </si>
  <si>
    <t xml:space="preserve">2026-09-23</t>
  </si>
  <si>
    <t xml:space="preserve">218367147</t>
  </si>
  <si>
    <t xml:space="preserve">FIN 3XC</t>
  </si>
  <si>
    <t xml:space="preserve">Support 3XC cassé sur le 740 VU</t>
  </si>
  <si>
    <t xml:space="preserve">2026-04-20</t>
  </si>
  <si>
    <t xml:space="preserve">217068263</t>
  </si>
  <si>
    <t xml:space="preserve">FIN 48LE</t>
  </si>
  <si>
    <t xml:space="preserve">RETOUCHE 48LE HS</t>
  </si>
  <si>
    <t xml:space="preserve">217944228</t>
  </si>
  <si>
    <t xml:space="preserve">FIN 671HK</t>
  </si>
  <si>
    <t xml:space="preserve">Retouche Test 225VU MSN 02145.</t>
  </si>
  <si>
    <t xml:space="preserve">216150332</t>
  </si>
  <si>
    <t xml:space="preserve">FIN 7XG</t>
  </si>
  <si>
    <t xml:space="preserve">Borne 5 ne verrouille pas fin 7XG</t>
  </si>
  <si>
    <t xml:space="preserve">217394837</t>
  </si>
  <si>
    <t xml:space="preserve">ERGOT DOUILLE D'AMPOULE HS</t>
  </si>
  <si>
    <t xml:space="preserve">Ergot douille d'ampoule HS</t>
  </si>
  <si>
    <t xml:space="preserve">218350053</t>
  </si>
  <si>
    <t xml:space="preserve">ETEC 241VU NON CONFORME</t>
  </si>
  <si>
    <t xml:space="preserve">ETEC 241VU non conforme</t>
  </si>
  <si>
    <t xml:space="preserve">218145781</t>
  </si>
  <si>
    <t xml:space="preserve">ETIQUETTE FONCTION NON CONFORME</t>
  </si>
  <si>
    <t xml:space="preserve">2026-01-22</t>
  </si>
  <si>
    <t xml:space="preserve">216207337</t>
  </si>
  <si>
    <t xml:space="preserve">HARNAIS 451VB COURT</t>
  </si>
  <si>
    <t xml:space="preserve">Harnais 451VB court</t>
  </si>
  <si>
    <t xml:space="preserve">MFRL</t>
  </si>
  <si>
    <t xml:space="preserve">217590735</t>
  </si>
  <si>
    <t xml:space="preserve">HARNAIS 4715VB COURT</t>
  </si>
  <si>
    <t xml:space="preserve">harnais 4715VB court</t>
  </si>
  <si>
    <t xml:space="preserve">E-RUDDER</t>
  </si>
  <si>
    <t xml:space="preserve">2026-07-16</t>
  </si>
  <si>
    <t xml:space="preserve">217871420</t>
  </si>
  <si>
    <t xml:space="preserve">HELICOIL ENDOMMAGÉ SUR 740VU</t>
  </si>
  <si>
    <t xml:space="preserve">helicoil endommagé sur 740VU</t>
  </si>
  <si>
    <t xml:space="preserve">2026-06-24</t>
  </si>
  <si>
    <t xml:space="preserve">217660228</t>
  </si>
  <si>
    <t xml:space="preserve">LOT D'ÉTIQUETTE À RECOMMANDER</t>
  </si>
  <si>
    <t xml:space="preserve">Lot d'étiquette à recommander</t>
  </si>
  <si>
    <t xml:space="preserve">SCR 1</t>
  </si>
  <si>
    <t xml:space="preserve">OHP</t>
  </si>
  <si>
    <t xml:space="preserve">A400M</t>
  </si>
  <si>
    <t xml:space="preserve">216560177</t>
  </si>
  <si>
    <t xml:space="preserve">MAUVAISE MEO BLEU DE MÉTAL PORTE 305</t>
  </si>
  <si>
    <t xml:space="preserve">Mauvaise MEO bleu de métal porte 305</t>
  </si>
  <si>
    <t xml:space="preserve">300VU</t>
  </si>
  <si>
    <t xml:space="preserve">217871254</t>
  </si>
  <si>
    <t xml:space="preserve">SUPPORT MOUSSE MONTAGE TUYAUTERIE ABIMÉ</t>
  </si>
  <si>
    <t xml:space="preserve">Support mousse montage tuyauterie abimé</t>
  </si>
  <si>
    <t xml:space="preserve">216085084</t>
  </si>
  <si>
    <t xml:space="preserve">TUYAUTERIE ATA21 DESSERRÉE</t>
  </si>
  <si>
    <t xml:space="preserve">Tuyauterie ATA21 desserrée</t>
  </si>
  <si>
    <t xml:space="preserve">217147112</t>
  </si>
  <si>
    <t xml:space="preserve">Total</t>
  </si>
  <si>
    <t xml:space="preserve">NC</t>
  </si>
  <si>
    <t xml:space="preserve">Decision</t>
  </si>
  <si>
    <t xml:space="preserve">Decision label</t>
  </si>
  <si>
    <t xml:space="preserve">Phase</t>
  </si>
  <si>
    <t xml:space="preserve">Line</t>
  </si>
  <si>
    <t xml:space="preserve">Product</t>
  </si>
  <si>
    <t xml:space="preserve">MSN</t>
  </si>
  <si>
    <t xml:space="preserve">Created</t>
  </si>
  <si>
    <t xml:space="preserve">References in text</t>
  </si>
  <si>
    <t xml:space="preserve">FIN in text</t>
  </si>
  <si>
    <t xml:space="preserve">SAP article of the NC</t>
  </si>
  <si>
    <t xml:space="preserve">SAP article description</t>
  </si>
  <si>
    <t xml:space="preserve">NC text (extract)</t>
  </si>
  <si>
    <t xml:space="preserve">217590666</t>
  </si>
  <si>
    <t xml:space="preserve">REJ_RW</t>
  </si>
  <si>
    <t xml:space="preserve">Rejection with a rework order</t>
  </si>
  <si>
    <t xml:space="preserve">SERIE</t>
  </si>
  <si>
    <t xml:space="preserve">2163</t>
  </si>
  <si>
    <t xml:space="preserve">F9251072200000</t>
  </si>
  <si>
    <t xml:space="preserve">ELEC ASSY 614VU</t>
  </si>
  <si>
    <t xml:space="preserve">614VU STRUCTURE ENDOMMAGEE | NonConformity 0001 : Type of nonconformity : Scratch * Sur la ligne A330 , nous constatons que la structure 614VU /MSN 2163/RE058527 a été endommagée ( rayée ) Nous demandons une nouvelle structure pour la refabrication du produit.  Text Description :  - TEL~ #TEL~ Task Completed : 0200 `` DO00 `` Task Description : NC prise en compte par OF 1030054521.  - Task Completed : 0400 `` ATW0 `` Task Description : remis en conformité  - Task Completed : 1000 `` ATQ0 `` Task Description : vu remis en conformité</t>
  </si>
  <si>
    <t xml:space="preserve">218058588</t>
  </si>
  <si>
    <t xml:space="preserve">2166</t>
  </si>
  <si>
    <t xml:space="preserve">614VU STRUCTURE ENDOMMAGEE | 0000000000 Sur la ligne A330 , nous constatons que la structure 614VU /MSN 2166/RE 059007 a été endommagée ( rayée ) Nous demandons une nouvelle structure pour la refabrication du produit. VOIR STANDARD DOC NonConformity 0001 : Type of nonconformity : Scratch * Sur la ligne A330 , nous constatons que la structure 614VU /MSN 2166/RE 059007 a été endommagée ( rayée ) Nous demandons une nouvelle structure pour la refabrication du produit. VOIR STANDARD DOC  Text Description : RAYURE FACE AVANT 614VU  - TEL~ #TEL~ Task Completed : 0200 `` DO00 `` Task Description : NC </t>
  </si>
  <si>
    <t xml:space="preserve">218056243</t>
  </si>
  <si>
    <t xml:space="preserve">614VU STRUCTURE ENDOMMAGEE | 0000000000 Sur la ligne A330 , nous constatons que la structure 614VU /MSN 2166/RE059006 a été endommagée ( rayée ) Nous demandons une nouvelle structure pour la refabrication du produit. VOIR STANDARD DOC NonConformity 0001 : Type of nonconformity : Scratch * Sur la ligne A330 , nous constatons que la structure 614VU /MSN 2166/RE059006 a été endommagée ( rayée ) Nous demandons une nouvelle structure pour la refabrication du produit. VOIR STANDARD DOC  Text Description : rayure sur la face avant du 614 VU  - TEL~ #TEL~ Task Completed : 0200 `` DO00 `` Task Descript</t>
  </si>
  <si>
    <t xml:space="preserve">216088280</t>
  </si>
  <si>
    <t xml:space="preserve">2143</t>
  </si>
  <si>
    <t xml:space="preserve">VIS ET FILETAGE SUR DECOUPLING UNIT H.S.</t>
  </si>
  <si>
    <t xml:space="preserve">F92511185000S23</t>
  </si>
  <si>
    <t xml:space="preserve">FINITION 740VU</t>
  </si>
  <si>
    <t xml:space="preserve">VIS ET FILETAGE SUR DECOUPLING UNIT H.S. | NonConformity 0001 : Type of nonconformity : Electrical Assembly Installation * Lors du contrôle final du 740VU , MSN 2143 , nous constatons que le Decoupling Unit réf. 6325010000 est endommagé. La vis et le filetage sont H.S. * Nous demandons le remplacement de la pièce.  Task Completed : 0100 `` DEC0 `` Decision Taken : REJECT Part Fitted Justification : EQUIPEMENT ENDOMMAGE * MRP CONTROLER : #PRS~ #PRS~ #UID~ MATERIAL GROUP : ++++++++++++++++++++++++++++++++++++++++ * Text Description :  - Task Completed : 0150 `` DO00 `` Task Description : NC PRIS</t>
  </si>
  <si>
    <t xml:space="preserve">216605359</t>
  </si>
  <si>
    <t xml:space="preserve">2152</t>
  </si>
  <si>
    <t xml:space="preserve">Vis de fixation endommagée decoupling</t>
  </si>
  <si>
    <t xml:space="preserve">17CE</t>
  </si>
  <si>
    <t xml:space="preserve">Vis de fixation endommagée decoupling | TEL~ #TEL~ NonConformity 0001 : Type of nonconformity : Electrical Assembly Installation * Lors de l'installation du decoupling unit pwr FIN 17CE ; P/N:530AL01CN S/N : 66874 CMS:6325010000 sur le socle de la platine relais du 740VU MSN 2152 nous avons constaté que la vis de fixation de celui-ci est endommagée . * Merci de nous fournir un nouvel equipement  TEL~ #TEL~ Task Completed : 0100 `` DEC0 `` Decision Taken : REJECT Part Fitted Justification : vis de fixations endommagée ++++++++++++++++++++++++++++++++++++++++ Material characteristics * WBS : MSF</t>
  </si>
  <si>
    <t xml:space="preserve">217149326</t>
  </si>
  <si>
    <t xml:space="preserve">2154</t>
  </si>
  <si>
    <t xml:space="preserve">DECOUPLING UNIT CASSE | NonConformity 0001 : Type of nonconformity : Electrical Assembly Installation * Sur la ligne A330 , 740VU , MSN 2154 , nous constatons que le decoupling unit 6325010000 sur FIN 17CE est cassé. * Nous demandons le remplacement de l'équipement  Text Description :  - TEL~ #TEL~ Task Completed : 0200 `` DO00 `` Task Description : NC prise en compte par OF 1029395238 .</t>
  </si>
  <si>
    <t xml:space="preserve">REJ</t>
  </si>
  <si>
    <t xml:space="preserve">Rejection</t>
  </si>
  <si>
    <t xml:space="preserve">2149</t>
  </si>
  <si>
    <t xml:space="preserve">F92513900000S02</t>
  </si>
  <si>
    <t xml:space="preserve">MECA MEUBLE 743VU</t>
  </si>
  <si>
    <t xml:space="preserve">MANQUE ECROU SUR BASE CONTACTEUR | NonConformity 0001 : Type of nonconformity : Electrical Assembly Installation * Sur la ligne A330 , MSN 2149 , 743 VU , nous constatons lors de l'installation que l'écrou en borne F est manquant sur le base contacteur 6325011700. * Nous demandons le remplacement de l'équipement.  Text Description :  - TEL~ #TEL~ Task Completed : 0200 `` DO00 `` Task Description : Pas d'action côté ST  - TEL~ Task Completed : 0400 `` ATW0 `` Task Description : Travail effectué  - Task Completed : 1000 `` ATQ0 `` Task Description : REMIS EN CONFORMITE</t>
  </si>
  <si>
    <t xml:space="preserve">2136</t>
  </si>
  <si>
    <t xml:space="preserve">2WD1</t>
  </si>
  <si>
    <t xml:space="preserve">FREW25CABINMUL018A</t>
  </si>
  <si>
    <t xml:space="preserve">VERIF. INSPEC. ASSIST. FINAL CABINE</t>
  </si>
  <si>
    <t xml:space="preserve">VU/BUTTON/MECA | Non Conformity 0001 : Type of nonconformity : Part incorrectly fitted *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Défectueux / endommagé cassé  NC_W  Due to QSR COCKPIT / Cockpit / Aircraft axe / VU BUTTON / - AAD - Part incorrectly fitted Following QSR TO/F/EQ/26-00012 we require the replacement of equipment 2WD1 which is part </t>
  </si>
  <si>
    <t xml:space="preserve">216701404</t>
  </si>
  <si>
    <t xml:space="preserve">2151</t>
  </si>
  <si>
    <t xml:space="preserve">F9251685600000</t>
  </si>
  <si>
    <t xml:space="preserve">ELEC ASSY 265VU</t>
  </si>
  <si>
    <t xml:space="preserve">ERGOT WARNING HORN H.S. | NonConformity 0001 : Type of nonconformity : Electrical Assembly Installation * Sur la ligne A330 , MSN 2151 , 265VU , nous constatons lors de l'installation que l'ergot sur le warning horn 6330420000 est endomagé. * Nous demandons le remplacement de l'équipement.  Text Description :  - TEL~ #TEL~ Task Completed : 0150 `` DO00 `` Task Description : NC taité sur S03 1028810052  - TEL~ Task Completed : 0400 `` ATW0 `` Task Description : Travail effectué  - Task Completed : 1000 `` ATQ0 `` Task Description : Check ok</t>
  </si>
  <si>
    <t xml:space="preserve">17063910</t>
  </si>
  <si>
    <t xml:space="preserve">ERGOT WARNING HORN H.S. | NonConformity 0001 : Type of nonconformity : Electrical Assembly Installation * Sur la ligne A330 , MSN 2151 , 265VU , nous constatons lors de l'installation que l'ergot sur le warning horn 6330420000 est endomagé. * Nous demandons le remplacement de l'équipement.</t>
  </si>
  <si>
    <t xml:space="preserve">2159</t>
  </si>
  <si>
    <t xml:space="preserve">417LF</t>
  </si>
  <si>
    <t xml:space="preserve">F9251671100000</t>
  </si>
  <si>
    <t xml:space="preserve">ELEC ASSY 417VU</t>
  </si>
  <si>
    <t xml:space="preserve">ETEC 417LF NON CONFORME | NonConformity 0001 : Type of nonconformity : Harness * DEF 1-Q11 : ETEC 417LF CMS 6374843100 SURPLUS DE MATIERE POUR LE MONTAGE CORRECTE D'UNE VIS.  Text Description :  - Task Completed : 0150 `` DO00 `` Task Description : nc prise en compte par so3 1029282330  - TEL~ #TEL~ Task Completed : 0200 `` DO00 `` Task Description : Pas d'action côté ST / suivre OF série pour la suite des OP.  - TEL~ Task Completed : 0400 `` ATW0 `` Task Description : TRAVAIL EFFECTUE  - Task Completed : 1000 `` ATQ0 `` Task Description : remis en conformité</t>
  </si>
  <si>
    <t xml:space="preserve">REC</t>
  </si>
  <si>
    <t xml:space="preserve">2139</t>
  </si>
  <si>
    <t xml:space="preserve">INTEGRALLY LIGHTED PLATE HS | NonConformity 0001 : Type of nonconformity : Electrical Assembly Installation * Suite à NC 216057897 , création de la NC pour remplacement de la INTEGRALLY LIGHTED PLATE 6374865800. la remise en conformité sera faite par l'équipe REC. *  Task Completed : 0100 `` DEC0 `` Decision Taken : REJECT Part Fitted Justification : INTEGRALLY LIGHTED PLATE HS ++++++++++++++++++++++++++++++++++++++++ Material characteristics * WBS : MSF-002139/FB164 Material : 000000006374865800 * MRP CONTROLER : SMITH Emmanuel STORAGE LOCATION : TS2F MATERIAL GROUP : BLAF LIGHTED_PLATE +++++</t>
  </si>
  <si>
    <t xml:space="preserve">2158</t>
  </si>
  <si>
    <t xml:space="preserve">F9251649700000</t>
  </si>
  <si>
    <t xml:space="preserve">ELEC ASSY 245VU</t>
  </si>
  <si>
    <t xml:space="preserve">INTEGRALLY LIGHTED PLATE H.S. | NonConformity 0001 : Type of nonconformity : Electrical Assembly Installation * Sur la ligne A330 , MSN 2158 , 245VU , nous constatons lors de la réception que la lighted plate 6374867600 est endommagée. Voir standard doc. * Nous demandons le remplacement de l'équipement.  Task Completed : 0100 `` DEC0 `` Decision Taken : REJECT Part Not Fitted Justification : Etec rayée ++++++++++++++++++++++++++++++++++++++++ Material characteristics * WBS : MSF-002158/FB149 Material : 000000006374867600 * MRP CONTROLER : SMITH Emmanuel STORAGE LOCATION : TS2F MATERIAL GROUP :</t>
  </si>
  <si>
    <t xml:space="preserve">217109331</t>
  </si>
  <si>
    <t xml:space="preserve">2155</t>
  </si>
  <si>
    <t xml:space="preserve">F9251694600000</t>
  </si>
  <si>
    <t xml:space="preserve">ELEC ASSY 261VU</t>
  </si>
  <si>
    <t xml:space="preserve">BOUTON POUSSOIR INCOMPLET | NonConformity 0001 : Type of nonconformity : Electrical Assembly Installation * Sur la ligne A330 , MSN 2155 , 261VU , nous constatons que le bouton poussoir ABS0064-01 est incomplet. Rondelle et écrou manquants. * Nous demandons le remplacement de l'équipement.  Text Description :  - TEL~ #TEL~ Task Completed : 0200 `` DO00 `` Task Description : 1029379066 TEL~ #TEL~ NC prise en compte par OF 1029379066.  - TEL~ Task Completed : 0400 `` ATW0 `` Task Description : Travail effectué  - Task Completed : 1000 `` ATQ0 `` Task Description : CHECK OK *</t>
  </si>
  <si>
    <t xml:space="preserve">217112253</t>
  </si>
  <si>
    <t xml:space="preserve">14WH</t>
  </si>
  <si>
    <t xml:space="preserve">F9251695700000</t>
  </si>
  <si>
    <t xml:space="preserve">ELEC ASSY 262VU</t>
  </si>
  <si>
    <t xml:space="preserve">BOUTON POUSSOIR INCOMPLET | NonConformity 0001 : Type of nonconformity : Electrical Assembly Installation * Sur la ligne A330 , MSN 2155 , 262VU , nous constatons que le bouton poussoir ABS0064-01 est incomplet : Rondelle et écrou manquants. * Nous demandons le remplacement de l'équipement. *  Text Description : TEL~ #TEL~ Concerné FIN 14WH  - TEL~ #TEL~ Task Completed : 0200 `` DO00 `` Task Description : NC prise en compte par OF 1029378973.  - TEL~ Task Completed : 0400 `` ATW0 `` Task Description : travail effectué  - Task Completed : 1000 `` ATQ0 `` Task Description : CHECK OK</t>
  </si>
  <si>
    <t xml:space="preserve">217139270</t>
  </si>
  <si>
    <t xml:space="preserve">2140</t>
  </si>
  <si>
    <t xml:space="preserve">BOUTON POUSSOIR ENDOMMAGE</t>
  </si>
  <si>
    <t xml:space="preserve">F9251693200000</t>
  </si>
  <si>
    <t xml:space="preserve">BOUTON POUSSOIR ENDOMMAGE | NonConformity 0001 : Type of nonconformity : Electrical Assembly Installation * Sur la ligne A330 , nous avons constaté que le bouton poussoir ABS0064-01 est endommagé. *  Text Description :  - TEL~ Task Completed : 0400 `` ATW0 `` Task Description : Travail effectué  - Task Completed : 1000 `` ATQ0 `` Task Description : remis en conformité</t>
  </si>
  <si>
    <t xml:space="preserve">F9251649300000</t>
  </si>
  <si>
    <t xml:space="preserve">ELEC ASSY 221VU</t>
  </si>
  <si>
    <t xml:space="preserve">INDICATEUR ABS0951B3LM002 H.S. | NonConformity 0001 : Type of nonconformity : Electrical Assembly Installation * Sur la ligne A330 , MSN 2158 , 221VU , nous constatons lors de l'installation que l'indicateur ABS0951B3LM002 est endommagé. * Nous demandons le remplacement de l'équipement.  Text Description : TEL~ #TEL~ Pas d'action côté ST  - Task Completed : 1000 `` ATQ0 `` Task Description : Check ok</t>
  </si>
  <si>
    <t xml:space="preserve">27MQ</t>
  </si>
  <si>
    <t xml:space="preserve">F9251684300000</t>
  </si>
  <si>
    <t xml:space="preserve">ELEC ASSY 271VU</t>
  </si>
  <si>
    <t xml:space="preserve">INDICATEUR ENDOMMAGE | NonConformity 0001 : Type of nonconformity : Electrical Assembly Installation * Sur la ligne A330 , MSN 2159 , 271 VU , nous constatons que l'indicateur ABS0951B3LP114 sur le FIN 27MQ est endommagé. * Nous demandons le remplacement de l'équipement.  Text Description :  - TEL~ #TEL~ Task Completed : 0200 `` DO00 `` Task Description : NCprise en compte par OF 1029590952.  - TEL~ Task Completed : 0400 `` ATW0 `` Task Description : travail effectué  - Task Completed : 1000 `` ATQ0 `` Task Description : Vu remis en conformité</t>
  </si>
  <si>
    <t xml:space="preserve">2161</t>
  </si>
  <si>
    <t xml:space="preserve">F9251689100000</t>
  </si>
  <si>
    <t xml:space="preserve">ELEC ASSY 538VU</t>
  </si>
  <si>
    <t xml:space="preserve">CABLE COURT SUITE ERREUR SERTISSAGE | NonConformity 0001 : Type of nonconformity : Electrical Assembly Installation * Sur la ligne A330 , MSN 2161 , 538VU , nous constatons suite à une erreur de sertissage que le câble 4631-1221 est trop court. * Nous demandons la re fabrication du câble ainsi que l'installation du connecteur ABS0971-003A01.  Task Completed : 0100 `` DEC0 `` Decision Taken : REJECT Part Not Fitted Justification : Câble 4631-1221 trop court suite à erreur de sertissage * MRP CONTROLER : MATERIAL GROUP : ++++++++++++++++++++++++++++++++++++++++ * Text Description :  - Task Compl</t>
  </si>
  <si>
    <t xml:space="preserve">216609710</t>
  </si>
  <si>
    <t xml:space="preserve">EXC</t>
  </si>
  <si>
    <t xml:space="preserve">Exchange</t>
  </si>
  <si>
    <t xml:space="preserve">829</t>
  </si>
  <si>
    <t xml:space="preserve">V92814615000S01</t>
  </si>
  <si>
    <t xml:space="preserve">Intégration harnais 1101VB sur MIP</t>
  </si>
  <si>
    <t xml:space="preserve">Colonnette de la structure du MIP cassée | TEL~ #TEL~ NonConformity 0001 : Type of nonconformity : Structural and Mechanical Assembly * Sur le MIP A350 poste integration nous avons endommagé la colonette ABS 1424-3-10 situé dans le pylone central. Veuillez s'il vous plait proceder à sont remplacement.  TEL~ #TEL~ Task Completed : 0100 `` DEC0 `` Request for Supplier Assessment Decision Taken : External Exchange Text Description :  - Task Completed : 1000 `` ATQ0 `` Task Description : Travail effectué par CIB.  - Task Completed : 1000 `` ATQ0 `` Task Description : &gt; X &gt; X* Task Description : &gt; </t>
  </si>
  <si>
    <t xml:space="preserve">217040142</t>
  </si>
  <si>
    <t xml:space="preserve">843</t>
  </si>
  <si>
    <t xml:space="preserve">2026-04-16</t>
  </si>
  <si>
    <t xml:space="preserve">Colonnette de la structure du MIP cassée | NonConformity 0001 : Type of nonconformity : Broken * Sur le MIP A350 , MSN843 , un opérateur nous a signalé qu’il a endommagé une colonnette de référence ABS1424-3-10 dans le pylône. Aprés constatation nous demandons le remplacement de celle-ci.  Task Completed : 0100 `` DEC0 `` Request for Supplier Assessment Decision Taken : External Exchange Text Description :</t>
  </si>
  <si>
    <t xml:space="preserve">217749687</t>
  </si>
  <si>
    <t xml:space="preserve">860</t>
  </si>
  <si>
    <t xml:space="preserve">Colonette Cassée</t>
  </si>
  <si>
    <t xml:space="preserve">Colonette Cassée | 567198748 NonConformity 0001 : Type of nonconformity : Structural and Mechanical Assembly * Sur le MIP A350 poste integration npous avons endommagé la colonette ABS 1424-3-10 situé dans le pylone central. Veuillez s'il vous plait proceder à sont remplacement  NonConformity 0001 : Type of nonconformity : Structural and Mechanical Assembly * Sur le MIP A350 poste integration nous avons endommagé la colonette ABS 1424-3-10 situé dans le pylone central. Veuillez s'il vous plait proceder à sont remplacement  TEL~ #TEL~ Task Completed : 0100 `` DEC0 `` Request for Supplier Assessm</t>
  </si>
  <si>
    <t xml:space="preserve">2153</t>
  </si>
  <si>
    <t xml:space="preserve">F9251672000000</t>
  </si>
  <si>
    <t xml:space="preserve">ELEC ASSY 119VU</t>
  </si>
  <si>
    <t xml:space="preserve">EQUIPEMENT ENDOMMAGE | NonConformity 0001 : Type of nonconformity : Electrical Assembly Installation * Sur la ligne A330 , MSN 2153 , 119VU , nous constatons que l'équipement ABS1551L4AD0A est endommagé. * Nous demandons le remplcement de l'équipement.  Text Description :  - TEL~ #TEL~ Task Completed : 0150 `` DO00 `` Task Description : &gt; X TEL~ #TEL~ &gt; X* NC traité sur SO1 *  - TEL~ #TEL~ Task Completed : 0200 `` DO00 `` Task Description : &gt; X TEL~ #TEL~ &gt; X* Pas d'action côté ST. *  - TEL~ Task Completed : 0400 `` ATW0 `` Task Description : Travail effectué</t>
  </si>
  <si>
    <t xml:space="preserve">216943511</t>
  </si>
  <si>
    <t xml:space="preserve">F9251647200000</t>
  </si>
  <si>
    <t xml:space="preserve">ELEC ASSY 313VU</t>
  </si>
  <si>
    <t xml:space="preserve">BOUTON OPTICAL ENCODEUR HS | NonConformity 0001 : Type of nonconformity : Electrical Assembly Installation * Sur la ligne A330 , nous constatons que le bouton de l'encodeur optical est endommagé = &gt; ABS1650-02. nous demandons la remise en conformité du produit.  Text Description :  - TEL~ #TEL~ Task Completed : 0150 `` DO00 `` Task Description : NC traitée sous SO3 1029127030  - TEL~ #TEL~ Task Completed : 0200 `` DO00 `` Task Description : Pas d'action côté ST  - TEL~ Task Completed : 0400 `` ATW0 `` Task Description : Travail effectué</t>
  </si>
  <si>
    <t xml:space="preserve">217613680</t>
  </si>
  <si>
    <t xml:space="preserve">CABLES ABIMES SUR OPTICAL ENCODER | NonConformity 0001 : Type of nonconformity : Electrical Assembly Installation * Sur la ligne A330 , MSN 2163 , 313 VU , nous constatons que les câbles sur l'optical encoder ABS1650-02 ont été abîmés par la pince à dénuder. * Nous demandons le remplacement de l'équipement.  Text Description :  - TEL~ #TEL~ Task Completed : 0200 `` DO00 `` Task Description : NC prise en compte per OF 1030084727.  - Task Completed : 0400 `` ATW0 `` Task Description : remis en conformité  - Task Completed : 1000 `` ATQ0 `` Task Description : CHECK OK</t>
  </si>
  <si>
    <t xml:space="preserve">217613893</t>
  </si>
  <si>
    <t xml:space="preserve">F9251647400000</t>
  </si>
  <si>
    <t xml:space="preserve">ELEC ASSY 314VU</t>
  </si>
  <si>
    <t xml:space="preserve">CABLES ABIMES SUR OPTICAL ENCODER | NonConformity 0001 : Type of nonconformity : Electrical Assembly Installation * Sur la ligne A330 , MSN 2163 , 314 VU , nous constatons que les câbles sur l'optical encoder ABS1650-02 sont abîmés suite à un mauvais dénudage. * Nous demandons le remplacement de l'équipement.  Text Description :  - TEL~ #TEL~ Task Completed : 0200 `` DO00 `` Task Description : NC prise en compte par OF 1030085567  - Task Completed : 0400 `` ATW0 `` Task Description : remis en conformité  - Task Completed : 1000 `` ATQ0 `` Task Description : CHECK OK *</t>
  </si>
  <si>
    <t xml:space="preserve">216958097</t>
  </si>
  <si>
    <t xml:space="preserve">BOUTON OPTICAL ENCODEUR HS | NonConformity 0001 : Type of nonconformity : Electrical Assembly Installation * Sur la ligne A330 , nous constatons que le bouton de l'encodeur optical a été endommagé. ABS1650-03  Task Completed : 0100 `` DEC0 `` Decision Taken : REJECT Part Not Fitted Justification : BOUTON ENDOMMAGE * MRP CONTROLER : MATERIAL GROUP : ++++++++++++++++++++++++++++++++++++++++ * Text Description :  - TEL~ #TEL~ Task Completed : 0150 `` DO00 `` Task Description : traitée sous 1028548452  - Task Completed : 1000 `` ATQ0 `` Task Description : produit remis en conformité</t>
  </si>
  <si>
    <t xml:space="preserve">218388588</t>
  </si>
  <si>
    <t xml:space="preserve">2170</t>
  </si>
  <si>
    <t xml:space="preserve">Optical encoder endommagé</t>
  </si>
  <si>
    <t xml:space="preserve">105SG1</t>
  </si>
  <si>
    <t xml:space="preserve">Optical encoder endommagé | NonConformity 0001 : Type of nonconformity : Electrical Assembly Installation * Sur la ligne A330 , 313VU , nous constatons que le optical encoder ABS1650-03 sur le FIN 105SG1 est endommagé  Text Description :  - TEL~ #TEL~ Task Completed : 0200 `` DO00 `` Task Description : NC prise en compte par OF 1031192907 .</t>
  </si>
  <si>
    <t xml:space="preserve">866</t>
  </si>
  <si>
    <t xml:space="preserve">52CV-A</t>
  </si>
  <si>
    <t xml:space="preserve">VESAW92C31101TA2M</t>
  </si>
  <si>
    <t xml:space="preserve"> 1101VB MIP SUPER  2M  A</t>
  </si>
  <si>
    <t xml:space="preserve">Backshell abimé lors du torquage | NonConformity 0001 : Type of nonconformity : Mis-alignment * Sur la route 2M du MSN 866 , le backshell ABS1896A08E de la prise 52CV-A s'est abimé lors du torquage. ( détrompeur HS ) Merci de nous en fournir un nouveau  Text Description :  - Task Completed : 0400 `` ATW0 `` Task Description : NC OK  - Task Completed : 1000 `` ATQ0 `` Task Description : E/S backshell effectué</t>
  </si>
  <si>
    <t xml:space="preserve">216758388</t>
  </si>
  <si>
    <t xml:space="preserve">835</t>
  </si>
  <si>
    <t xml:space="preserve">Ecrou riveté endommagé sur la structure | NonConformity 0001 : Type of nonconformity : Fastener ( incl. Bolt/Screw/Washer/Bush ) * Sur la ligne A350 , poste Integration , nous avons constaté que l'écrou riveté ASNA2327-3-3 est endommagé . Nous demmandons une intervention pour la remise en conformité de la structure.  Task Completed : 0100 `` DEC0 `` Request for Supplier Assessment Decision Taken : External Exchange Text Description :  - Task Completed : 1000 `` ATQ0 `` Task Description : Travail effectué par CIB .</t>
  </si>
  <si>
    <t xml:space="preserve">218277387</t>
  </si>
  <si>
    <t xml:space="preserve">869</t>
  </si>
  <si>
    <t xml:space="preserve">Support ASNA2327-3-3 endommagé</t>
  </si>
  <si>
    <t xml:space="preserve">Support ASNA2327-3-3 endommagé | Support ASNA2327-3-3 endommagé NonConformity 0001 : Type of nonconformity : Structural and Mechanical Assembly * Sur la ligne A350 , poste MECA , l'opérateur a endommagé un support ASNA2327-3-3 lors de l'assemblage de colonnette et de support lacotte. Nous demandons le remplacement du support ASNA2327-3-3 et d'une éventuelle réparation de la structure si elle est endommagée ( à voir lors d'une remplacement du support ) .  Task Completed : 0100 `` DEC0 `` Request for Supplier Assessment Decision Taken : External Exchange Text Description :</t>
  </si>
  <si>
    <t xml:space="preserve">216177953</t>
  </si>
  <si>
    <t xml:space="preserve">817</t>
  </si>
  <si>
    <t xml:space="preserve">Colonnette de la structure du MIP cassée | NonConformity 0001 : Type of nonconformity : Structural and Mechanical Assembly * Sur la ligne A350 poste Integration , nous avons endommagé la colonnette ASNA2328-3-4 en appliquant l'OF 1027315420. * Def : Q10-004 : Colonnette cassée. * Demandons remise en conformité du produit  Task Completed : 0100 `` DEC0 `` Request for Supplier Assessment Decision Taken : External Exchange Text Description :</t>
  </si>
  <si>
    <t xml:space="preserve">216247653</t>
  </si>
  <si>
    <t xml:space="preserve">819</t>
  </si>
  <si>
    <t xml:space="preserve">2026-01-26</t>
  </si>
  <si>
    <t xml:space="preserve">Colonnette de la structure du MIP cassée | 567198748 NonConformity 0001 : Type of nonconformity : Structural and Mechanical Assembly * Sur la ligne A350 poste Integration , nous avons endommagé la colonnette ASNA2328-3-4 Veulliez proceder au remplacement de celle-ci.  NonConformity 0001 : Type of nonconformity : Structural and Mechanical Assembly * Sur la ligne A350 poste Integration , nous avons endommagé la colonnette ASNA2328-3-4 Veulliez proceder au remplacement de celle-ci.  NonConformity 0001 : Type of nonconformity : Broken * Sur la ligne A350 poste Integration , nous avons endommagé la</t>
  </si>
  <si>
    <t xml:space="preserve">216376660</t>
  </si>
  <si>
    <t xml:space="preserve">823</t>
  </si>
  <si>
    <t xml:space="preserve">Colonnette de la structure du MIP cassée | NonConformity 0001 : Type of nonconformity : Broken * Sur la ligne A350 , poste Integration du MSN 823 , nous avons constaté que la colonnette ASNA2328-3-4 est endommagée. Nous demandons le remplacement de celle-ci. *  Task Completed : 0100 `` DEC0 `` Request for Supplier Assessment Decision Taken : External Exchange Text Description :</t>
  </si>
  <si>
    <t xml:space="preserve">216227502</t>
  </si>
  <si>
    <t xml:space="preserve">F9251684200000</t>
  </si>
  <si>
    <t xml:space="preserve">ELEC ASSY 255VU</t>
  </si>
  <si>
    <t xml:space="preserve">COMPOSANT SCRAPE | NonConformity 0001 : Type of nonconformity : Electrical Assembly Installation * le FIRE PUSH A ETE SCAPE REFUS POUR REAPPRO  Task Completed : 0100 `` DEC0 `` Decision Taken : REJECT Part Not Fitted Justification : FIRE PUSH SCRAPE * MRP CONTROLER : TROUIS Nathalie +33561936016 MATERIAL GROUP : ++++++++++++++++++++++++++++++++++++++++ * Text Description :  - TEL~ Task Completed : 0400 `` ATW0 `` Task Description : Travail effectué  - Task Completed : 1000 `` ATQ0 `` Task Description : VU REMIS EN CONFORMITE</t>
  </si>
  <si>
    <t xml:space="preserve">216227907</t>
  </si>
  <si>
    <t xml:space="preserve">COMPOSANT SCRAPE | NonConformity 0001 : Type of nonconformity : Electrical Assembly Installation * FIRE PUSH SCRAPE *  Text Description :  - TEL~ Task Completed : 0400 `` ATW0 `` Task Description : travail effetué  - Task Completed : 1000 `` ATQ0 `` Task Description : VU REMIS EN CONFORMITE</t>
  </si>
  <si>
    <t xml:space="preserve">216228052</t>
  </si>
  <si>
    <t xml:space="preserve">COMPOSANT SCRAPE | NonConformity 0001 : Type of nonconformity : Electrical Assembly Installation * FIRE PUSH SCRAPE  Text Description :  - TEL~ Task Completed : 0400 `` ATW0 `` Task Description : Travail effectué  - Task Completed : 1000 `` ATQ0 `` Task Description : VU REMIS EN CONFORMITE</t>
  </si>
  <si>
    <t xml:space="preserve">216914342</t>
  </si>
  <si>
    <t xml:space="preserve">2157</t>
  </si>
  <si>
    <t xml:space="preserve">prise non conforme</t>
  </si>
  <si>
    <t xml:space="preserve">F9251671500000</t>
  </si>
  <si>
    <t xml:space="preserve">ELEC ASSY 241VU</t>
  </si>
  <si>
    <t xml:space="preserve">prise non conforme | NonConformity 0001 : Type of nonconformity : Electrical Assembly Installation * Sur la ligne A330 , nous constatons qu'il nous a éte fourni un connecteur 14B19SN alors qu'il est demandé au dossier de fabrication un connecteur 14B19PN. nous demandons un connecteur = &gt; E0053R14B19PNF.  Task Completed : 0100 `` DEC0 `` Decision Taken : REJECT Part Not Fitted Justification : mauvais connecteur livré * MRP CONTROLER : MATERIAL GROUP : ++++++++++++++++++++++++++++++++++++++++ * Text Description :  - TEL~ #TEL~ Task Completed : 0150 `` DO00 `` Task Description : NC Traité sur SO1</t>
  </si>
  <si>
    <t xml:space="preserve">217687557</t>
  </si>
  <si>
    <t xml:space="preserve">2164</t>
  </si>
  <si>
    <t xml:space="preserve">681VC</t>
  </si>
  <si>
    <t xml:space="preserve">F9251671300000</t>
  </si>
  <si>
    <t xml:space="preserve">ELEC ASSY 145VU</t>
  </si>
  <si>
    <t xml:space="preserve">Enfichage prise 681VC impossible | NonConformity 0001 : Type of nonconformity : Incorrect connector * Lors de l'enfichage par la production des câbles sur la prise 681VC du 154VU MSN 2164 , il est constaté que plusiueurs borne ne permettent pas l'enfichage des contacts. * Prise REF : E0053R14B19PNF * Merci de changer la prise.  Text Description :  - TEL~ #TEL~ Task Completed : 0200 `` DO00 `` Task Description : NC prise en compte par OF 1030158587.  - Task Completed : 1000 `` ATQ0 `` Task Description : remis en conformité</t>
  </si>
  <si>
    <t xml:space="preserve">2167</t>
  </si>
  <si>
    <t xml:space="preserve">F9251670800000</t>
  </si>
  <si>
    <t xml:space="preserve">ELEC ASSY 412VU</t>
  </si>
  <si>
    <t xml:space="preserve">CONNECTEUR E0053R18B32PNF H.S | NonConformity 0001 : Type of nonconformity : Electrical Assembly Installation * Sur la ligne A330 , MSN 2167 , 412 VU , nous constatons que le grommet sur connecteur E0053R18B32PNF est détèrioré. * Nous demandons le remplacement de l'équipement.  Task Completed : 0100 `` DEC0 `` Decision Taken : REJECT Part Not Fitted Justification : Equipement HS * MRP CONTROLER : MATERIAL GROUP : ++++++++++++++++++++++++++++++++++++++++ * Text Description :  - TEL~ Task Completed : 0400 `` ATW0 `` Task Description : Travail effectué</t>
  </si>
  <si>
    <t xml:space="preserve">2147</t>
  </si>
  <si>
    <t xml:space="preserve">F9251694200000</t>
  </si>
  <si>
    <t xml:space="preserve">ELEC ASSY 925VU</t>
  </si>
  <si>
    <t xml:space="preserve">Grommets endommagés | NonConformity 0001 : Type of nonconformity : Electrical Assembly Installation * Sur la ligne A330 , nous constatons que le grommet est endommagé sur le connecteur E0053RI8B32PNF. Nous demandons la réappro du connecteur pour remise en conformité. *  Text Description :  - TEL~ Task Completed : 0400 `` ATW0 `` Task Description : Travail effectué  - Task Completed : 1000 `` ATQ0 `` Task Description : remis en conformité</t>
  </si>
  <si>
    <t xml:space="preserve">F9251689600000</t>
  </si>
  <si>
    <t xml:space="preserve">ELEC ASSY 215VU</t>
  </si>
  <si>
    <t xml:space="preserve">SWITCH-OVER ENDOMMAGE | NonConformity 0001 : Type of nonconformity : Electrical Assembly Installation * Sur la ligne A330 , MSN 2149 , 215VU , nous constatons lors de l'installation que le SWITCH-OVER E0062A0S4BJOA est endommagé. Nous demandons le remplacement de l'équipement.  Text Description :  - TEL~ #TEL~ Task Completed : 0150 `` DO00 `` Task Description : of 1028218109  - TEL~ Task Completed : 0400 `` ATW0 `` Task Description : Travail effectué</t>
  </si>
  <si>
    <t xml:space="preserve">21MQ</t>
  </si>
  <si>
    <t xml:space="preserve">INVERSEUR H.S. | NonConformity 0001 : Type of nonconformity : Electrical Assembly Installation * Sur la ligne A330 , MSN 2166 , 271 VU , nous constatons que la borne 1C sur équipement E0062B1G4AD0A , FIN 21MQ , est endommagée. * Nous demandons le remplacement de l'équipement.  Task Completed : 0100 `` DEC0 `` Decision Taken : REJECT Part Not Fitted Justification : Equipement endommagé * MRP CONTROLER : MATERIAL GROUP : ++++++++++++++++++++++++++++++++++++++++ * Text Description :  - Task Completed : 0150 `` DO00 `` Task Description : CREaTION so3 1030055735  - TEL~ #TEL~ Task Completed : 0200 </t>
  </si>
  <si>
    <t xml:space="preserve">217571217</t>
  </si>
  <si>
    <t xml:space="preserve">34LE2</t>
  </si>
  <si>
    <t xml:space="preserve">F9251647500000</t>
  </si>
  <si>
    <t xml:space="preserve">ELEC ASSY 513VU</t>
  </si>
  <si>
    <t xml:space="preserve">BORNE HS SUR SWITCH OVER | NonConformity 0001 : Type of nonconformity : Electrical Assembly Installation * Sur la ligne A330 , MSN 2163 , 513VU , nous constatons que la borne 1A sur le switch Over E0062D1S4BA0A ( Fin 34LE2 ) ne vérouille pas. Nous demandons le remplacement de l'équipement.  Text Description :  - TEL~ #TEL~ Task Completed : 0200 `` DO00 `` Task Description : NC prise en compte par OF 1030037500.  - Task Completed : 1000 `` ATQ0 `` Task Description : CHEC OK</t>
  </si>
  <si>
    <t xml:space="preserve">218307795</t>
  </si>
  <si>
    <t xml:space="preserve">2169</t>
  </si>
  <si>
    <t xml:space="preserve">2026-09-17</t>
  </si>
  <si>
    <t xml:space="preserve">Grommet de switch-over endommagé</t>
  </si>
  <si>
    <t xml:space="preserve">F9251647600000</t>
  </si>
  <si>
    <t xml:space="preserve">ELEC ASSY 514VU</t>
  </si>
  <si>
    <t xml:space="preserve">Grommet de switch-over endommagé | NonConformity 0001 : Type of nonconformity : Electrical Assembly Installation * Ligne A330 , MSN2169 , sur le 514VU , nous avons constaté que sur switch-overs subminiature E0062D1S4BA0A le grommet est endommagé. Nous demandons le remplacement du switch-overs subminiature E0062D1S4BA0A *  Task Completed : 0100 `` DEC0 `` Decision Taken : REJECT Part Not Fitted Justification : Nous demandons le remplacement du switch-overs subminiature endommagé * MRP CONTROLER : MATERIAL GROUP : ++++++++++++++++++++++++++++++++++++++++ * Text Description :  - TEL~ #TEL~ Task C</t>
  </si>
  <si>
    <t xml:space="preserve">218376253</t>
  </si>
  <si>
    <t xml:space="preserve">EQUIPEMENT E0062D1S4BA0A HS</t>
  </si>
  <si>
    <t xml:space="preserve">20LE2</t>
  </si>
  <si>
    <t xml:space="preserve">EQUIPEMENT E0062D1S4BA0A HS | NonConformity 0001 : Type of nonconformity : Electrical Assembly Installation * Sur la ligne A330 , MSN 2170 , 514 VU , nous constatons que l'équipement #PRS~ ( FIN 20LE2 ) est HS. * Nous demandons le remplacement de l'équipement.  Task Completed : 0100 `` DEC0 `` Decision Taken : REJECT Part Not Fitted Justification : Equipement HS * MRP CONTROLER : MATERIAL GROUP : ++++++++++++++++++++++++++++++++++++++++ * Text Description :  - TEL~ #TEL~ Task Completed : 0200 `` DO00 `` Task Description : NC traîté par le ST via OF 1031182335</t>
  </si>
  <si>
    <t xml:space="preserve">216265972</t>
  </si>
  <si>
    <t xml:space="preserve">2146</t>
  </si>
  <si>
    <t xml:space="preserve">Grommet endommagé</t>
  </si>
  <si>
    <t xml:space="preserve">F9251690100000</t>
  </si>
  <si>
    <t xml:space="preserve">ELEC ASSY 312VU</t>
  </si>
  <si>
    <t xml:space="preserve">Grommet endommagé | NonConformity 0001 : Type of nonconformity : Electrical Assembly Installation * Sur la ligne A330 , nous constatons que le grommet est endommagé sur le switch over E0062E2D4AC0A.  Text Description :  - TEL~ Task Completed : 0400 `` ATW0 `` Task Description : Travail effectué  - Task Completed : 1000 `` ATQ0 `` Task Description : remis en conformité</t>
  </si>
  <si>
    <t xml:space="preserve">216336723</t>
  </si>
  <si>
    <t xml:space="preserve">BORNE NE VERROUILLE PAS | NonConformity 0001 : Type of nonconformity : Electrical Assembly Installation * Sur la ligne A330 , nous constatons qu'une borne de connexion ne verrouille pas sur le switch over E0062E2D4AC0A. Demandons nouveau switch pour remise en conformité du produit.  Text Description :  - TEL~ #TEL~ Task Completed : 0150 `` DO00 `` Task Description : so3 1027711983  - TEL~ Task Completed : 0400 `` ATW0 `` Task Description : Travail effectué  - Task Completed : 1000 `` ATQ0 `` Task Description : remis en conformité</t>
  </si>
  <si>
    <t xml:space="preserve">216669205</t>
  </si>
  <si>
    <t xml:space="preserve">SWITCH OVER CASSE</t>
  </si>
  <si>
    <t xml:space="preserve">SWITCH OVER CASSE | NonConformity 0001 : Type of nonconformity : Electrical Assembly Installation * Sur la ligne A330 , nous constatons que le switch over est endommagé E0062E2D4AC0A. *  Task Completed : 0100 `` DEC0 `` Decision Taken : REJECT Part Not Fitted Justification : SWITCH OVER HS * MRP CONTROLER : MATERIAL GROUP : ++++++++++++++++++++++++++++++++++++++++ * Text Description :  - TEL~ #TEL~ Task Completed : 0150 `` DO00 `` Task Description : Traité sur SO1 1027711983  - TEL~ Task Completed : 0400 `` ATW0 `` Task Description : Travail effectué  - Task Completed : 1000 `` ATQ0 `` Task De</t>
  </si>
  <si>
    <t xml:space="preserve">2156</t>
  </si>
  <si>
    <t xml:space="preserve">9PH</t>
  </si>
  <si>
    <t xml:space="preserve">F92511185000S22</t>
  </si>
  <si>
    <t xml:space="preserve">INTEGRATION 740VU</t>
  </si>
  <si>
    <t xml:space="preserve">MICROSWITCH ENDOMMAGE | NonConformity 0001 : Type of nonconformity : Electrical Assembly Installation * Sur la ligne A330 , nous constatons que le micoswitch E017B01E00 a été endommagé. FIN:9PH Nous demandons un nouveau micoswitch pour la remise en conformité.  Text Description :  - TEL~ #TEL~ Task Completed : 0150 `` DO00 `` Task Description : traitée sur SO1  - TEL~ Task Completed : 0400 `` ATW0 `` Task Description : Travail effectué  - Task Completed : 1000 `` ATQ0 `` Task Description : Check done</t>
  </si>
  <si>
    <t xml:space="preserve">VIS TORDUE SUR RELAIS | NonConformity 0001 : Type of nonconformity : Electrical Assembly Installation * Sur la ligne A330 , MSN 2155 , 740VU , nous constatons que la vis sur le relais E0217XUU001A est tordue. Nous demandons le remplacement de l'équipement.  Text Description :  - TEL~ #TEL~ Task Completed : 0200 `` DO00 `` Task Description : NC prise en compte par OF 1029496358.  - Task Completed : 1000 `` ATQ0 `` Task Description : CHECK OK</t>
  </si>
  <si>
    <t xml:space="preserve">4XE</t>
  </si>
  <si>
    <t xml:space="preserve">Socle relais 4XE taraudage endommagé | NonConformity 0001 : Type of nonconformity : Electrical Assembly Installation * Lors de la finition du meuble 740VU MSN 2155 au moment de monter les relais , il est constaté qu'un taraudage des fixation du socle du relais 4XE est endommagé. * Référence du socle : E0219AS * Merci de changer celui-ci.  Text Description :  - TEL~ #TEL~ Task Completed : 0200 `` DO00 `` Task Description : NC prise en compte par OF 1029482473.  - Task Completed : 1000 `` ATQ0 `` Task Description : CHECK OK</t>
  </si>
  <si>
    <t xml:space="preserve">217446552</t>
  </si>
  <si>
    <t xml:space="preserve">BORNE 1A NE VERROUILLE PAS | NonConformity 0001 : Type of nonconformity : Electrical Assembly Installation * Sur la ligne A330 , nous constatons que la borne 1A ne verrouille pas sur le switch-push button E0239D5A.  Text Description :  - Task Completed : 0150 `` DO00 `` Task Description : nc pris en compte par SO3 1029399693  - Task Completed : 1000 `` ATQ0 `` Task Description : VU REMIS EN CONFORMITE</t>
  </si>
  <si>
    <t xml:space="preserve">218333064</t>
  </si>
  <si>
    <t xml:space="preserve">BORNE HS SUR SWITCH-PUSH BUTTON</t>
  </si>
  <si>
    <t xml:space="preserve">15XE</t>
  </si>
  <si>
    <t xml:space="preserve">F9251696100000</t>
  </si>
  <si>
    <t xml:space="preserve">ELEC ASSY 211VU</t>
  </si>
  <si>
    <t xml:space="preserve">BORNE HS SUR SWITCH-PUSH BUTTON | NonConformity 0001 : Type of nonconformity : Electrical Assembly Installation * Sur la ligne A330 , MSN 2170 , 211 VU , nous constatons que la borne 1A sur le SWITCH-PUSH BUTTON E0239D5A , FIN 15XE , ne vérouille pas. * Nous demandons le remplacement de l'équipement. *  Task Completed : 0100 `` DEC0 `` Decision Taken : REJECT Part Not Fitted Justification : Equipement HS * MRP CONTROLER : MATERIAL GROUP : ++++++++++++++++++++++++++++++++++++++++ * Text Description :  - TEL~ #TEL~ Task Completed : 0200 `` DO00 `` Task Description : NC traitée suivant OF 1031120</t>
  </si>
  <si>
    <t xml:space="preserve">Filetage vis relais incorrect | NonConformity 0001 : Type of nonconformity : Electrical Assembly Installation * Sur la ligne A330 , MSN 2159 , 740VU , nous constatons que le filetage sur le relais E0245-28A0 est incorrect. La vis se met en travers lors du serrage. Nous demandons le remplacement de l'équipement. *  Text Description : TEL~ #TEL~ Pas d'action côté ST , OF CERT  - Task Completed : 1000 `` ATQ0 `` Task Description : CHECK OK</t>
  </si>
  <si>
    <t xml:space="preserve">Gromet endommagé sur Socket | NonConformity 0001 : Type of nonconformity : Electrical Assembly Installation * Sur la ligne A330 , nous constatons que le gromet est endommagé sur le Socket E0311A0S. Nous demandons la remise en conformité du produit.  Text Description :  - TEL~ #TEL~ Task Completed : 0150 `` DO00 `` Task Description : &gt; X TEL~ #TEL~ &gt; X* nc traitée sur S03 1029127214 *  - TEL~ #TEL~ Task Completed : 0200 `` DO00 `` Task Description : NC prise en compte par OF 1029127214.  - Task Completed : 1000 `` ATQ0 `` Task Description : remis en conformité</t>
  </si>
  <si>
    <t xml:space="preserve">2168</t>
  </si>
  <si>
    <t xml:space="preserve">F9251036300000</t>
  </si>
  <si>
    <t xml:space="preserve">ELEC ASSY</t>
  </si>
  <si>
    <t xml:space="preserve">EQUIPEMENT E0330-01 ENDOMMAGE | NonConformity 0001 : Type of nonconformity : Electrical Assembly Installation * Sur la ligne A330 , 912 VU , MSN 2168 , nous constatons que l'équipement E0330-01 JACK TELEPHONE présente un impact sur le haut de la prise. * Nous demandons le remplacement de l'équipement. *  Text Description :  - TEL~ #TEL~ Task Completed : 0200 `` DO00 `` Task Description : NC prise en compte par OF 1030877637.  - TEL~ Task Completed : 0400 `` ATW0 `` Task Description : Travail effectué  - Task Completed : 1000 `` ATQ0 `` Task Description : REMIS EN CONFORMITE</t>
  </si>
  <si>
    <t xml:space="preserve">9QV-A</t>
  </si>
  <si>
    <t xml:space="preserve">F9251678500000</t>
  </si>
  <si>
    <t xml:space="preserve">RETOUCHE CONTROLE FINAL | NonConformity 0001 : Type of nonconformity : Electrical Assembly Installation * Sur la ligne A330 , 211 VU , MSN 2164 , nous constatons lors du contrôle final que le #PRS~ #PRS~ réf : E0419A6 FIN : 9QV-A , est endommagé. * Nous demandons le remplacement de l'équipement.  Text Description :  - TEL~ #TEL~ Task Completed : 0200 `` DO00 `` Task Description : NC prise en compte par OF 1030437961  - Task Completed : 1000 `` ATQ0 `` Task Description : VU REMIS EN CONFORMITE</t>
  </si>
  <si>
    <t xml:space="preserve">217026822</t>
  </si>
  <si>
    <t xml:space="preserve">Connecteur E0682-01 HS</t>
  </si>
  <si>
    <t xml:space="preserve">F9251686600000</t>
  </si>
  <si>
    <t xml:space="preserve">ELEC ASSY 272VU</t>
  </si>
  <si>
    <t xml:space="preserve">Connecteur E0682-01 HS | NonConformity 0001 : Type of nonconformity : Structural and Mechanical Assembly * Sur le MSN 2155 , 272VU , le connecteur E0682-01 est défectueux. La bague de montage est HS. * Demandons nouveau connecteur E0682-01 en remplacement.  Task Completed : 0100 `` DEC0 `` Decision Taken : REJECT Part Not Fitted Justification : remplacement de l'élément * MRP CONTROLER : MATERIAL GROUP : ++++++++++++++++++++++++++++++++++++++++ * Text Description :  - TEL~ #TEL~ Task Completed : 0150 `` DO00 `` Task Description : NC traitée sur SO11029070166  - Task Completed : 1000 `` ATQ0 ``</t>
  </si>
  <si>
    <t xml:space="preserve">218227645</t>
  </si>
  <si>
    <t xml:space="preserve">2172</t>
  </si>
  <si>
    <t xml:space="preserve">2026-09-09</t>
  </si>
  <si>
    <t xml:space="preserve">Borne HS sur connecteur E0682-01</t>
  </si>
  <si>
    <t xml:space="preserve">112LF</t>
  </si>
  <si>
    <t xml:space="preserve">F9251648700000</t>
  </si>
  <si>
    <t xml:space="preserve">ELEC ASSY 112VU</t>
  </si>
  <si>
    <t xml:space="preserve">Borne HS sur connecteur E0682-01 | NonConformity 0001 : Type of nonconformity : Electrical Assembly Installation * Sur la ligne A330 , MSN 2172 , 112 VU , nous constatons que la borne 1 sur connecteur E0682-01 ( FIN 112LF ) ne vérouille pas. * Nous demandons le remplacement de l'équipement.  Task Completed : 0100 `` DEC0 `` Decision Taken : REJECT Part Not Fitted Justification : Connecteur HS * MRP CONTROLER : MATERIAL GROUP : ++++++++++++++++++++++++++++++++++++++++ * Text Description :  - Task Completed : 0150 `` DO00 `` Task Description : NC PRIS EN COMPTE PAR SO3 1030184952  - TEL~ #TEL~ T</t>
  </si>
  <si>
    <t xml:space="preserve">218376309</t>
  </si>
  <si>
    <t xml:space="preserve">Borne 1 HS sur équipement E0682-01 | NonConformity 0001 : Type of nonconformity : Electrical Assembly Installation * Sur la ligne A330 , MSN 2170 , 417 VU , nous constatons que la borne 1 sur équipement E0682-01 ( FIN 417LF ) ne vérouille pas. * Nous demandons le remplacement de l'équipement.  Task Completed : 0100 `` DEC0 `` Decision Taken : REJECT Part Not Fitted Justification : Equipement HS * MRP CONTROLER : MATERIAL GROUP : ++++++++++++++++++++++++++++++++++++++++ * Text Description :  - TEL~ #TEL~ Task Completed : 0200 `` DO00 `` Task Description : NC traîté par le ST via OF 1031182387</t>
  </si>
  <si>
    <t xml:space="preserve">F9251630100000</t>
  </si>
  <si>
    <t xml:space="preserve">ELEC ASSY 930VU</t>
  </si>
  <si>
    <t xml:space="preserve">Borne H ne verrouille pas | NonConformity 0001 : Type of nonconformity : Electrical Assembly Installation * Sur la ligne A330 , nous constatons que la borne H ne verrouille pas lors de l'enfichage du contact. .Connecteur= &gt; EN3646A01419AW. *  Text Description :  - TEL~ #TEL~ Task Completed : 0150 `` DO00 `` Task Description : traité sur so1 1028218100  - TEL~ Task Completed : 0400 `` ATW0 `` Task Description : Travail effectué  - Task Completed : 1000 `` ATQ0 `` Task Description : VU remis en conformité .</t>
  </si>
  <si>
    <t xml:space="preserve">F9251670300000</t>
  </si>
  <si>
    <t xml:space="preserve">Borne K HS SUR CONNECTEUR VC | NonConformity 0001 : Type of nonconformity : Electrical Assembly Installation * Sur la ligne A330 , nous constatons que la boene K ne verrouille pas sur le connecteur EN3646A02255AN. Nous demandons un nouveau connecteur.  NonConformity 0001 : Type of nonconformity : Electrical Assembly Installation * Sur la ligne A330 , nous constatons que la boene K ne verrouille pas sur le connecteur EN3646A02255AN. Nous demandons un nouveau connecteur.  Text Description :  - Task Completed : 0400 `` ATW0 `` Task Description : remis en conformité  - Task Completed : 1000 `` ATQ</t>
  </si>
  <si>
    <t xml:space="preserve">216915228</t>
  </si>
  <si>
    <t xml:space="preserve">F9251693900000</t>
  </si>
  <si>
    <t xml:space="preserve">BORNE NE VERROUILLE PAS | NonConformity 0001 : Type of nonconformity : Electrical Assembly Installation * Sur la ligne A330 , nous constatons que la borne NN ne verrouille pas sur le connecteur EN3646A02461AN. Nous demandons un nouveau connecteur. *  Text Description :  - TEL~ #TEL~ Task Completed : 0150 `` DO00 `` Task Description : nc traitée sur SO3 1029092321  - TEL~ #TEL~ Task Completed : 0200 `` DO00 `` Task Description : La NC est traité côté S/T sous la référence : 1029092321</t>
  </si>
  <si>
    <t xml:space="preserve">216931836</t>
  </si>
  <si>
    <t xml:space="preserve">F9251696400000</t>
  </si>
  <si>
    <t xml:space="preserve">CONNECTEUR borne ne verrouille pas | NonConformity 0001 : Type of nonconformity : Electrical Assembly Installation * Sur la ligne A330 , 272VU MSN 2151 , nous constatons que la borne NN ne verrouille pas sur le connecteur EN3646A02461AN. * Nous demandons le remplacement du connecteur.  Text Description :  - TEL~ #TEL~ Task Completed : 0150 `` DO00 `` Task Description : nc traitée sous SO1 1028436454</t>
  </si>
  <si>
    <t xml:space="preserve">216943435</t>
  </si>
  <si>
    <t xml:space="preserve">CONNECTEUR borne ne verrouille pas | NonConformity 0001 : Type of nonconformity : Electrical Assembly Installation * Sur la ligne A330 , 272VU MSN 2151 , nous constatons que la borne NN ne se verrouille pas sur le connecteur EN3646A02461AN. * Nous demandons le remplacement du connecteur.  Text Description :  - TEL~ #TEL~ Task Completed : 0150 `` DO00 `` Task Description : NC traitée sur SO1  - Task Completed : 1000 `` ATQ0 `` Task Description : TRAVAIL FAIT</t>
  </si>
  <si>
    <t xml:space="preserve">217584208</t>
  </si>
  <si>
    <t xml:space="preserve">Plume cassé dans borne P</t>
  </si>
  <si>
    <t xml:space="preserve">Plume cassé dans borne P | NonConformity 0001 : Type of nonconformity : Electrical Assembly Installation * Sur la ligne A330 , nous constatons que la borne P est endommagée ( plume cassée à l'intérieur ) . Réf : EN3646A02461AN.  Text Description :  - Task Completed : 1000 `` ATQ0 `` Task Description : CHECK OK</t>
  </si>
  <si>
    <t xml:space="preserve">F9251035100000</t>
  </si>
  <si>
    <t xml:space="preserve">452VU ELEC ASSY</t>
  </si>
  <si>
    <t xml:space="preserve">Ergot douille d'ampoule HS | NonConformity 0001 : Type of nonconformity : Electrical Assembly Installation * Lors de l'installation des douille d'ampoule sur le 452VB MSN 2170 , l'opérateur a endommagé l'ergot de positionnement. * Merci de recommander une nouvelle pièce.  Text Description :  - TEL~ #TEL~ Task Completed : 0200 `` DO00 `` Task Description : Pas d'action côté ST .</t>
  </si>
  <si>
    <t xml:space="preserve">ETEC 241VU non conforme | NonConformity 0001 : Type of nonconformity : Absence of Colour / Paint missing * Sur la ligne A330 petits VU , au contrôle final , il a été constaté que le nom du VU sur l'ETEC était partiellement effacé. * Nous demandons le réapprovisionnement d'un nouvel ETEC. * *  Task Completed : 0100 `` DEC0 `` Decision Taken : REJECT Part Not Fitted Justification : Nous demandons le remplacement de l'ETEC ++++++++++++++++++++++++++++++++++++++++ Material characteristics * WBS : MSF-002166/FB148 Material : 000000006374856800 * MRP CONTROLER : SMITH Emmanuel STORAGE LOCATION : TS2</t>
  </si>
  <si>
    <t xml:space="preserve">2150</t>
  </si>
  <si>
    <t xml:space="preserve">FUNCTIONAL LABEL</t>
  </si>
  <si>
    <t xml:space="preserve">ETIQUETTE FONCTION NON CONFORME | NonConformity 0001 : Type of nonconformity : Electrical Assembly Installation * Sur la ligne A330 , MSN 2150 , 740VU , nous constatons lors de l'inspection que l'étiquette de fonction ligne D est non conforme ( voir standard doc ) . Nous demandons le remplacement du lot d'étiquettes de fonction.  Text Description :  - TEL~ #TEL~ Task Completed : 0150 `` DO00 `` Task Description : &gt; X TEL~ #TEL~ &gt; X* so3 1028100658 *  - TEL~ #TEL~ Task Completed : 0200 `` DO00 `` Task Description : NC prise en compte par OF 102810065.  - TEL~ Task Completed : 0400 `` ATW0 `` Ta</t>
  </si>
  <si>
    <t xml:space="preserve">F92513993000S02</t>
  </si>
  <si>
    <t xml:space="preserve">EQUIPEMENT 740VU</t>
  </si>
  <si>
    <t xml:space="preserve">LOT ETIQUETTE 740VU INCOMPLET | NonConformity 0001 : Type of nonconformity : Structural and Mechanical Assembly * Sur la ligne A330 , 740 VU , MSN 2163 , nous constatons que le lot d'étiquettes F1131202300000 est incomplet. * Nous demandons le remplacement du lot.  Text Description :  - Task Completed : 0150 `` DO00 `` Task Description : NC PRIS EN COMPTE PAR SO3 1029361481  - Task Completed : 1000 `` ATQ0 `` Task Description : CHECK OK</t>
  </si>
  <si>
    <t xml:space="preserve">Lot etiquettes foctions non conforme | NonConformity 0001 : Type of nonconformity : Electrical Assembly Installation * Sur la ligne A330 , nous avons constaté que le LOTF1131365000000 ( Etiquettes de Fonctions ) est non conforme suite à une mise à jour non faite par le BE. Le plan a évolué à ce jour= &gt; voir doc déclaratif. *  Task Completed : 0100 `` DEC0 `` Decision Taken : REJECT Part Not Fitted Justification : lot etiquettes de fonctions non conforme * MRP CONTROLER : MATERIAL GROUP : ++++++++++++++++++++++++++++++++++++++++ * Text Description :  - TEL~ #TEL~ Task Completed : 0200 `` DO00 `</t>
  </si>
  <si>
    <t xml:space="preserve">STRUCTURE FACE AVANT RAYEE | NonConformity 0001 : Type of nonconformity : Structural and Mechanical Assembly * Sur la ligne A330 , MSN 2169 , 314VU , nous constatons que la structure en face avant F9251017700000 est rayée. * Voir doc déclaratif. * Nous demandons le remplacement de la structure. *  Task Completed : 0100 `` DEC0 `` Decision Taken : REJECT Part Not Fitted Justification : Structure rayée * MRP CONTROLER : STD #PRS~ #PRS~ #PRS~ #UID~ MATERIAL GROUP : ++++++++++++++++++++++++++++++++++++++++ * Text Description :  - TEL~ #TEL~ Task Completed : 0200 `` DO00 `` Task Description : Pas d</t>
  </si>
  <si>
    <t xml:space="preserve">F9251695100000</t>
  </si>
  <si>
    <t xml:space="preserve">ELEC ASSY 616VU</t>
  </si>
  <si>
    <t xml:space="preserve">DZUS SUR STRUCTURE 616VU ENDOMMAGE | NonConformity 0001 : Type of nonconformity : Structural and Mechanical Assembly * Sur la ligne A330 , 616VU , MSN 2166 , nous constatons que le dzus côté droit en face avant est endommagé. * Nous demandons le remplacement de la structure F9251031400000.  Text Description :  - TEL~ #TEL~ Task Completed : 0200 `` DO00 `` Task Description : NC prise en compte par OF 1030897869.  - Task Completed : 0400 `` ATW0 `` Task Description : travail effectué  - Task Completed : 1000 `` ATQ0 `` Task Description : Vu remis en conformité</t>
  </si>
  <si>
    <t xml:space="preserve">2145</t>
  </si>
  <si>
    <t xml:space="preserve">Rampe endommagée | NonConformity 0001 : Type of nonconformity : Electrical Assembly Installation * Sur la ligne A330 , MSN 2145 , 215 VU , nous constatons lors de l'installation que la rampe F9251041800000 est endommagée , la base de la rampe tourne dans le vide ce qui empêche l'installation de cette dernière. Nous demandons le remplacement de l'équipement. *  Task Completed : 0100 `` DEC0 `` Decision Taken : REJECT Part Not Fitted Justification : Remplacement de l'équipement * MRP CONTROLER : MATERIAL GROUP : ++++++++++++++++++++++++++++++++++++++++ * Text Description :  - TEL~ Task Completed</t>
  </si>
  <si>
    <t xml:space="preserve">F9251501300000</t>
  </si>
  <si>
    <t xml:space="preserve">990VU ELEC ASSY</t>
  </si>
  <si>
    <t xml:space="preserve">Filetage Rampe F9251201000000 endommagé | NonConformity 0001 : Type of nonconformity : Structural and Mechanical Assembly * Sur la ligne A330 , MSN 2152 , 990VU , nous constatons lors de l'installation que le filetage de la rampe F9251201000000 est endommagé. Nous demandons le remplacement de la pièce.  Text Description :  - TEL~ #TEL~ Task Completed : 0150 `` DO00 `` Task Description : so3 1028050642  - TEL~ #TEL~ Task Completed : 0200 `` DO00 `` Task Description : NC prise en compte par OF 1028050642.  - TEL~ Task Completed : 0400 `` ATW0 `` Task Description : Travail effectué</t>
  </si>
  <si>
    <t xml:space="preserve">2148</t>
  </si>
  <si>
    <t xml:space="preserve">F92513839000S01</t>
  </si>
  <si>
    <t xml:space="preserve">MECA PLATINE RELAIS 743VU</t>
  </si>
  <si>
    <t xml:space="preserve">PLATINE EQUIPEE NON CONFORME | NonConformity 0001 : Type of nonconformity : Electrical Assembly Installation * Sur la ligne A330 , nous constatons que la platine F9251369800000 est non conforme . Voir doc déclaratif  Task Completed : 0100 `` DEC0 `` Request for Supplier Assessment Decision Taken : External Exchange Text Description :  Task Completed : 0248 `` STE0 `` Request for Supplier Assessment Decision Taken : External Exchange Text Description :  - Task Completed : 0348 `` STE0 `` Task Description : vu remis en conformité  - Task Completed : 0650 `` ATQ0 `` Task Description : 743vu remis</t>
  </si>
  <si>
    <t xml:space="preserve">FDOM0740VUINCOMING</t>
  </si>
  <si>
    <t xml:space="preserve">Gamme domestique 740VU INCOMING</t>
  </si>
  <si>
    <t xml:space="preserve">TOLE DE FOND ENDOMMAGEE | NonConformity 0001 : Type of nonconformity : Structural and Mechanical Assembly * Sur la ligne A330 , nous constatons que la tole de fond a été endommagée= &gt; F9251527320000. Voir doc déclaratif. Nous demandons le replacement de cette piéce. *  Task Completed : 0100 `` DEC0 `` Request for Supplier Assessment Decision Taken : External Exchange Text Description :  Task Completed : 0001 `` ORI0 `` Task Description : Transfert de la NC 216653358 du MSN 2151 vers MSN 2155.  Task Completed : 0100 `` DEC0 `` Request for Supplier Assessment Decision Taken : External Exchange T</t>
  </si>
  <si>
    <t xml:space="preserve">216037622</t>
  </si>
  <si>
    <t xml:space="preserve">FDOM0743VUINCOMING</t>
  </si>
  <si>
    <t xml:space="preserve">Gamme domestique 743VU INCOMING</t>
  </si>
  <si>
    <t xml:space="preserve">FILETAGE ECROU SUPPORT PRISE H.S. | NonConformity 0001 : Type of nonconformity : Structural and Mechanical Assembly * Sur la ligne A330 , MSN 2152 , 743 VU , nous constatons lors de l'installation que le filetage écrou du support prise est endommagé. Réf : F9251529400000 Voir doc déclaratif.  Task Completed : 0100 `` DEC0 `` Request for Supplier Assessment Decision Taken : External Exchange Text Description : ******************************************************************** Responsible of defect 1 updated by #UID~ Old value : Y4 147026 SOCIETE NOUVELLE CENTRAIR - SNCA New value : Y5 FTO2 EL</t>
  </si>
  <si>
    <t xml:space="preserve">217162621</t>
  </si>
  <si>
    <t xml:space="preserve">PAS DE VIS HS SUR SUPPORT PRISES</t>
  </si>
  <si>
    <t xml:space="preserve">PAS DE VIS HS SUR SUPPORT PRISES | NonConformity 0001 : Type of nonconformity : Structural and Mechanical Assembly * Sur la ligne A330 , nous constatons que le Pas de vis est endommagé sur le support prise F9251529400000. Voir doc déclaratif. *  Task Completed : 0100 `` DEC0 `` Request for Supplier Assessment Decision Taken : External Exchange Text Description :  - Task Completed : 0248 `` STE0 `` Task Description : Constaté monté sur le meuble. Mesures de métallisation ok .</t>
  </si>
  <si>
    <t xml:space="preserve">2165</t>
  </si>
  <si>
    <t xml:space="preserve">F9251533600000 MS21071-3</t>
  </si>
  <si>
    <t xml:space="preserve">Ecrou autofreine endommagé | NonConformity 0001 : Type of nonconformity : Structural and Mechanical Assembly * Sur la ligne A330 , nous constatons sur la porte 742VU F9251533600000 qu'un écrou autofreiné MS21071-3 a été endommagé. Nous demandons un parachévement pour la remise en conformité.  Task Completed : 0100 `` DEC0 `` Request for Supplier Assessment Decision Taken : External Exchange Text Description :</t>
  </si>
  <si>
    <t xml:space="preserve">10DG2</t>
  </si>
  <si>
    <t xml:space="preserve">F9251693300000</t>
  </si>
  <si>
    <t xml:space="preserve">Retouche Test 262VU MSN 02140 | NonConformity 0001 : Type of nonconformity : Connection * Def 1-Q11 : Suite à Inversion de branchement ( T04 ) et un mauvais sertissage ( Q07 ) sur un câble en 10DG2 , un contact est resté coincé dans le bouton poussoir. Merci remplacer ce bouton poussoir , refaire le contac , vérifier le sertissage de l'autre contact de l'équipement et remettre le VU en conformité.  Text Description :  - TEL~ #TEL~ Task Completed : 0200 `` DO00 `` Task Description : NC Prise en compte par OF 1029734923.  - Task Completed : 0400 `` ATW0 `` Task Description : remis en conformité </t>
  </si>
  <si>
    <t xml:space="preserve">12CE1</t>
  </si>
  <si>
    <t xml:space="preserve">Retouche Test 241VU MSN 02148 | NonConformity 0001 : Type of nonconformity : Electrical Assembly Installation * Def 1-Q11 : Colerette de de l'indicateur controle signal 12CE1 cassée. Merci de remplacer cet équipement.  Text Description :  - TEL~ #TEL~ Task Completed : 0150 `` DO00 `` Task Description : SO3 1028139503  - TEL~ #TEL~ Task Completed : 0200 `` DO00 `` Task Description : NC prise en compte par OF 1028139503.  - Task Completed : 1000 `` ATQ0 `` Task Description : Contrôle ok</t>
  </si>
  <si>
    <t xml:space="preserve">2144</t>
  </si>
  <si>
    <t xml:space="preserve">14MQ</t>
  </si>
  <si>
    <t xml:space="preserve">F9251623400000</t>
  </si>
  <si>
    <t xml:space="preserve">ELEC ASSY 295VU</t>
  </si>
  <si>
    <t xml:space="preserve">Relais 14MQ endommagé | NonConformity 0001 : Type of nonconformity : Impact * Lors de l'inspection du 295VU , nous constons un impact sur le côté du relais 14MQ. * Code défaut : Q11-003 * Merci de remettre en état.  NonConformity 0001 : Type of nonconformity : Impact * Lors de l'inspection du 295VU , nous constons un impact sur le côté du relais 14MQ. * Code défaut : Q11-003 * Merci de remettre en état.  Task Completed : 0100 `` DEC0 `` Decision Taken : REJECT Part Fitted Justification : IMPACT SUR LE COTE * MRP CONTROLER : MATERIAL GROUP : ++++++++++++++++++++++++++++++++++++++++ * Text Descr</t>
  </si>
  <si>
    <t xml:space="preserve">217600000</t>
  </si>
  <si>
    <t xml:space="preserve">153RH</t>
  </si>
  <si>
    <t xml:space="preserve">F9251688700000</t>
  </si>
  <si>
    <t xml:space="preserve">WARNING HORN DETROMPAGE HS | NonConformity 0001 : Type of nonconformity : Electrical Assembly Installation * Sur la ligne A330 , nous constatons que le détrompage du warning HORN FIN : 153RH est endommagé. *  Task Completed : 0100 `` DEC0 `` Decision Taken : REJECT Part Not Fitted Justification : DETROMPAGE WARNING HORN ENDOMMAGE 153RH * MRP CONTROLER : IBEN HABEL Firas 33753595310 MATERIAL GROUP : ++++++++++++++++++++++++++++++++++++++++ * Text Description :  - Task Completed : 1000 `` ATQ0 `` Task Description : CHECK OK</t>
  </si>
  <si>
    <t xml:space="preserve">17232524</t>
  </si>
  <si>
    <t xml:space="preserve">WARNING HORN DETROMPAGE HS | NonConformity 0001 : Type of nonconformity : Electrical Assembly Installation * Sur la ligne A330 , nous constatons que le détrompage du warning HORN FIN : 153RH est endommagé. *</t>
  </si>
  <si>
    <t xml:space="preserve">13115</t>
  </si>
  <si>
    <t xml:space="preserve">15XE-A 15XE</t>
  </si>
  <si>
    <t xml:space="preserve">ESAO: GTI: 15XE-A INOP | NonConformity 0001 : Type of nonconformity : Broken component * While performing GTI : 8242612 we had a failure. * We troubleshot this failure to 15XE-A Contactor INOP. * Voltage and Ground are going to the connector but it is not closing the contacts between T1 , T2 , T3 and K1 , K2 , K3. * Please replace contactor 15XE-A. * Located in the Oxygen compartment. In the 106VU.  - Task Completed : 0100 `` VAL0 `` Task Description : XP ME please order parts and raise W/O for rework to replace contactor 15XE-A , in 106VU.  Task Completed : 0200 `` DEC0 `` Request for Supplie</t>
  </si>
  <si>
    <t xml:space="preserve">Découpleur 17CE endommagé | NonConformity 0001 : Type of nonconformity : Impact * Lors du PNE avant fermeture du meuble 740VU MSN 2165 , nous contatons que le découpleur 17CE est endommagé. * Voir standard doc. * Merci de changer le 17CE.  Task Completed : 0100 `` DEC0 `` Decision Taken : REJECT Part Fitted Justification : Déformation sur le découpleur 17CE ++++++++++++++++++++++++++++++++++++++++ Material characteristics * WBS : MSF-002165/FB173 Material : 000000006325010000 SERIAL NUMBER FIN 68773 F 17CE * MRP CONTROLER : #PRS~ #PRS~ #PRS~ #UID~ STORAGE LOCATION : TS2F MATERIAL GROUP : BE1A </t>
  </si>
  <si>
    <t xml:space="preserve">2160</t>
  </si>
  <si>
    <t xml:space="preserve">180RH</t>
  </si>
  <si>
    <t xml:space="preserve">Retouches Test 211VU MSN 02160. | NonConformity 0001 : Type of nonconformity : Electrical Assembly Installation * Def 1-Q11 : Guard switch endommagé en 180RH. Merci de le remplacer.  Text Description :  - TEL~ #TEL~ Task Completed : 0200 `` DO00 `` Task Description : NC prise en compte par OF 1029940091.  - TEL~ Task Completed : 0400 `` ATW0 `` Task Description : Travail effectué  - Task Completed : 1000 `` ATQ0 `` Task Description : VU REMIS EN CONFORMITE</t>
  </si>
  <si>
    <t xml:space="preserve">868</t>
  </si>
  <si>
    <t xml:space="preserve">1WK11</t>
  </si>
  <si>
    <t xml:space="preserve">V9281432500000</t>
  </si>
  <si>
    <t xml:space="preserve">Montage clams et ramps planche de bord</t>
  </si>
  <si>
    <t xml:space="preserve">Support Prisonnier détérioré | TEL~ #TEL~ NonConformity 0001 : Type of nonconformity : Crack * Suite a l'utilisation d'une vis non conforme , le support prisonnier à l'arriere du pavé ARINC 1WK11 à été endommagé , veuillez s'il vous plait proceder a son remplacement.  TEL~ #TEL~ Task Completed : 0100 `` DEC0 `` Request for Supplier Assessment Decision Taken : External Exchange Text Description :</t>
  </si>
  <si>
    <t xml:space="preserve">23FP</t>
  </si>
  <si>
    <t xml:space="preserve">RETOUCHE 23FP DEFECTUEUX | NonConformity 0001 : Type of nonconformity : Insulation * DEF 1-Q11 : 23FP DEFAUT D'ISOLATION SUR LA BORNE 4. VEUILLEZ CHANGER L'EQUIPEMENT 23FP.  Text Description :  - TEL~ #TEL~ Task Completed : 0151 `` DO00 `` Task Description : NC prise en compte par OF 1030535457.  - Task Completed : 0200 `` ATW0 `` Task Description : &gt; X &gt; X* &gt; X &gt; X* &gt; X* remis en conformité &gt; X* *</t>
  </si>
  <si>
    <t xml:space="preserve">2122</t>
  </si>
  <si>
    <t xml:space="preserve">245LF</t>
  </si>
  <si>
    <t xml:space="preserve">ETEC EQ 245LF à remplacer | NonConformity 0001 : Type of nonconformity : Incorrect connector * Suite à TLB ID194 veuillez remplacer l'etec du 245 VU  Task Completed : 0100 `` DEC0 `` Decision Taken : REJECT Part Fitted Justification : Suite à TLB ID194 veuillez remplacer l'etec du 245 VU ++++++++++++++++++++++++++++++++++++++++ Material characteristics * WBS : MSF-002122/FB149 Material : 000000006374867600 * MRP CONTROLER : SMITH Emmanuel STORAGE LOCATION : TS2F MATERIAL GROUP : BLAF LIGHTED_PLATE ++++++++++++++++++++++++++++++++++++++++ * Text Description :  - TEL~ #TEL~ Task Completed : 0200</t>
  </si>
  <si>
    <t xml:space="preserve">27XE</t>
  </si>
  <si>
    <t xml:space="preserve">Filetage endommagé sur relais 27XE | NonConformity 0001 : Type of nonconformity : Electrical Assembly Installation * Lors du changement de relais 27XE sur le 740VU MSN 2159 nous constatons que le même pas de vis que le précédent relais est endommagé lors du vissage. * Nous demandons le changement du relais 27XE ainsi que sa base relais 27XE A * Merci  - Task Completed : 0001 `` ORI0 `` Task Description : Merci de changer le relais 27XE ainsi que sa base 27XE A Text Description :  - Task Completed : 0150 `` DO00 `` Task Description : NC prise en comtpe par SO3 1029777599 *  - TEL~ #TEL~ Task Co</t>
  </si>
  <si>
    <t xml:space="preserve">30CE</t>
  </si>
  <si>
    <t xml:space="preserve">TRIM POTENTIOMETER 30CE ON 115VU | NonConformity 0001 : Type of nonconformity : Incorrect connector * Suite à TLB ID62 merci de remplacer le potentiometre 30CE sur le 115VU  Task Completed : 0100 `` DEC0 `` Decision Taken : REJECT Part Fitted Justification : Suite à TLB ID62 merci de remplacer le potentiometre 30CE sur le 115VU * MRP CONTROLER : TESSIER Natacha +33785823004 MATERIAL GROUP : ++++++++++++++++++++++++++++++++++++++++ * Text Description :  - Task Completed : 0200 `` DO00 `` Task Description : &gt; X &gt; X* S03 1028206999 *  - Task Completed : 0700 `` ATW0 `` Task Description : travail </t>
  </si>
  <si>
    <t xml:space="preserve">2119</t>
  </si>
  <si>
    <t xml:space="preserve">311LF</t>
  </si>
  <si>
    <t xml:space="preserve">TLB ID435 | NonConformity 0001 : Type of nonconformity : Electrical Assembly Installation * Suite au TLB ID435 , veuillez remplacer l'ETEC 311LF sur le 311VU. * Voir standard doc. *  Text Description :  - Task Completed : 0200 `` DO00 `` Task Description : S03 1029777637 cree  - Task Completed : 0500 `` DO00 `` Task Description : Gamme + appro donnés en prod.  - Task Completed : 0600 `` ATW0 `` Task Description : travail fait via WO 1029777637  - TEL~ #TEL~ Task Completed : 0700 `` DO00 `` Task Description : Travail contrôlé par ATIS ABZ  - TEL~ #TEL~ Task Completed : 0800 `` DO00 `` Task Desc</t>
  </si>
  <si>
    <t xml:space="preserve">3DR1</t>
  </si>
  <si>
    <t xml:space="preserve">Retouche Test 513VU MSN 02172 refus. | NonConformity 0001 : Type of nonconformity : Electrical Assembly Installation * Def 1-Q11 : Switch overs subminiature 3DR1 endommagé bloqué. Merci de remplacer ce dernier.  Text Description :  - Task Completed : 0100 `` DEC0 `` Task Description : Passer avec #PRS~  - TEL~ #TEL~ Task Completed : 0150 `` DO00 `` Task Description : Merci de générer un SO3 de +1 - 1 afin qu'on puisse l'enrichir côté ST  - TEL~ #TEL~ Task Completed : 0250 `` DO00 `` Task Description : NC traîté par le ST via OF 1031169913  - Task Completed : 0300 `` ATW0 `` Task Description : </t>
  </si>
  <si>
    <t xml:space="preserve">3XC</t>
  </si>
  <si>
    <t xml:space="preserve">Support 3XC cassé sur le 740 VU | NonConformity 0001 : Type of nonconformity : Electrical Assembly Installation * Suite à la NC 217046251 merci de remplacer le support 3XC cassé sur le 740VU. * Voir standard doc *  Text Description : Besoin généré sur S03 1029285423  - TEL~ #TEL~ Task Completed : 0400 `` DO00 `` Task Description : Voir OF 1029347652 , imprimé au C04.  - TEL~ #TEL~ Task Completed : 0600 `` DO00 `` Task Description : nc ok  - TEL~ #TEL~ Task Completed : 0800 `` DO00 `` Task Description : Travail contrôlé par #UID~  - TEL~ #TEL~ Task Completed : 0900 `` DO00 `` Task Description :</t>
  </si>
  <si>
    <t xml:space="preserve">48LE</t>
  </si>
  <si>
    <t xml:space="preserve">F9251672100000</t>
  </si>
  <si>
    <t xml:space="preserve">ELEC ASSY 275VU</t>
  </si>
  <si>
    <t xml:space="preserve">RETOUCHE 48LE HS | NonConformity 0001 : Type of nonconformity : Short-cut * DEF 1-Q11 : 48LE DEFAUT DE RESISTANCE. VEUILLEZ CHANGER L'EQUIPEMENT 48LE.  Text Description :  - TEL~ #TEL~ Task Completed : 0151 `` DO00 `` Task Description : NC prise en compte par OF 1030535434.  - Task Completed : 0200 `` ATW0 `` Task Description : remis en conformité</t>
  </si>
  <si>
    <t xml:space="preserve">671HK</t>
  </si>
  <si>
    <t xml:space="preserve">F9251649400000</t>
  </si>
  <si>
    <t xml:space="preserve">ELEC ASSY 225VU</t>
  </si>
  <si>
    <t xml:space="preserve">Retouche Test 225VU MSN 02145. | NonConformity 0001 : Type of nonconformity : Electrical Assembly Installation * Def 1-Q11 : Temp Selector 671HK Hors Tolérance en butée droite , mesure mini demandée : 961 ohm mini , relevée : 1,08K ohm. merci de remplacer cet équipement.  Text Description : TEL~ #TEL~ Pièce servi le 09.02 mise a dispo pr la prod  - Task Completed : 0200 `` DO00 `` Task Description : NC traité par le ST via SO3 1028321886</t>
  </si>
  <si>
    <t xml:space="preserve">7XG</t>
  </si>
  <si>
    <t xml:space="preserve">Borne 5 ne verrouille pas fin 7XG | NonConformity 0001 : Type of nonconformity : Electrical Assembly Installation * Sur la ligne A330 , nous constatons que la borne 5 ne verrouille pas sur le corps de voyant FIN:7XG. *  Text Description :  - Task Completed : 0150 `` DO00 `` Task Description : nc PRISE EN COMPTE PAR so3 1029360232  - Task Completed : 0400 `` ATW0 `` Task Description : remis en conformité  - Task Completed : 1000 `` ATQ0 `` Task Description : remis en conformité</t>
  </si>
  <si>
    <t xml:space="preserve">13634</t>
  </si>
  <si>
    <t xml:space="preserve">D9298004300200</t>
  </si>
  <si>
    <t xml:space="preserve">WIRE BUNDLE 0451VB</t>
  </si>
  <si>
    <t xml:space="preserve">Harnais 451VB court | TEL~ #TEL~ NonConformity 0001 : Type of nonconformity : Harness length * Lors du controle morphplogique du Harnais MFRL 451VB du MSN 13634 PB 10482 nous constatons que la longueur du harnais n'est pas conforme . * Voir standard doc * merci de refabriquer le harnais *  Text Description : refabrication du harnais  - Task Completed : 0150 `` DO00 `` Task Description : Clôture de la NC pour mise à jour du statut du harnais  - Task Completed : 0200 `` ATW0 `` Task Description : Clôture de la NC pour mise à jour du statut du harnais  - Task Completed : 1000 `` ATQ0 `` Task Desc</t>
  </si>
  <si>
    <t xml:space="preserve">13697</t>
  </si>
  <si>
    <t xml:space="preserve">D9299971500000</t>
  </si>
  <si>
    <t xml:space="preserve">VTP 4715VB</t>
  </si>
  <si>
    <t xml:space="preserve">harnais 4715VB court | TEL~ #TEL~ NonConformity 0001 : Type of nonconformity : Harness length * Lors du sertissage des têtes B du harnais 4715VB du MSN 13697 , DV038 PB 10093 l'opérateur a coupé les câbles au niveau de la longueur théorique au lieu du trait de coupe. * Merci de relancer la fabrication du harnais.  Text Description : Phone #TEL~ Le harnais defectueux va etre mis ON HOLD et une nouvelle fabrication avec un Nouveau Numero de Serie va etre #PRS~ #PRS~ #PRS~  - TEL~ #TEL~ Task Completed : 0200 `` DO00 `` Task Description : Fabrication via #UID~</t>
  </si>
  <si>
    <t xml:space="preserve">F92513993000S04</t>
  </si>
  <si>
    <t xml:space="preserve">helicoil endommagé sur 740VU | NonConformity 0001 : Type of nonconformity : Fastener not available * Sur meuble 740VU MSN 2163 , au niveau des fixation de la platine prise VC , nous avons un hélicoil qui s'est enlevé lors du démontage de la vis suite au contrôle du meuble lors du quel il a été trouvé des vis trop courtes. * Voir standard doc pour l'emplacement. Merci de remettre en conformité.  Task Completed : 0100 `` DEC0 `` Request for Supplier Assessment Decision Taken : External Exchange Text Description :  - Task Completed : 0248 `` STE0 `` Task Description : Para ajouté en PJ et SO3 du </t>
  </si>
  <si>
    <t xml:space="preserve">SCR</t>
  </si>
  <si>
    <t xml:space="preserve">Scrap</t>
  </si>
  <si>
    <t xml:space="preserve">162</t>
  </si>
  <si>
    <t xml:space="preserve">M87936165000S01</t>
  </si>
  <si>
    <t xml:space="preserve">Méca OHP A400M</t>
  </si>
  <si>
    <t xml:space="preserve">Lot d'étiquette à recommander | Removed for classification reason</t>
  </si>
  <si>
    <t xml:space="preserve">217860541</t>
  </si>
  <si>
    <t xml:space="preserve">F9251671400000</t>
  </si>
  <si>
    <t xml:space="preserve">ELEC ASSY 115VU</t>
  </si>
  <si>
    <t xml:space="preserve">Manque trou de fixation ETEC 115VU | NonConformity 0001 : Type of nonconformity : Hole missing * Suite à la NC 217724439 , l'ETEC fournie a toujours le même problème trou de fixation non débouché. * Veuillez commander une nouvelle ETEC pour le 115VU MSN 2163.  Text Description :  - TEL~ #TEL~ Task Completed : 0200 `` DO00 `` Task Description : NC prise en compte par S99 / 1030248355</t>
  </si>
  <si>
    <t xml:space="preserve">217862026</t>
  </si>
  <si>
    <t xml:space="preserve">Manque trou de fixation ETEC 115VU | NonConformity 0001 : Type of nonconformity : Hole missing * Sur le 115VU MSN 2165 , l'ETEC fournie présente un trou de fixation manquant. * Merci de commander une nouvelle ETEC.  Text Description :  - TEL~ #TEL~ Task Completed : 0200 `` DO00 `` Task Description : Pas d'action côté ST  - TEL~ Task Completed : 0400 `` ATW0 `` Task Description : Travail effectué  - Task Completed : 1000 `` ATQ0 `` Task Description : check ok</t>
  </si>
  <si>
    <t xml:space="preserve">217895101</t>
  </si>
  <si>
    <t xml:space="preserve">2026-07-20</t>
  </si>
  <si>
    <t xml:space="preserve">Manque trou de fixation ETEC 115VU | NonConformity 0001 : Type of nonconformity : Hole missing * Sur le 115VU MSN 2166 , l'ETEC fournie présente un trou de fixation manquant. * Merci de commander une nouvelle ETEC. *  Text Description :  - TEL~ #TEL~ Task Completed : 0200 `` DO00 `` Task Description : Pas d'action coté ST , OF série non commencé  - TEL~ Task Completed : 0400 `` ATW0 `` Task Description : Travail effectué  - Task Completed : 1000 `` ATQ0 `` Task Description : check ok</t>
  </si>
  <si>
    <t xml:space="preserve">217986779</t>
  </si>
  <si>
    <t xml:space="preserve">2026-08-11</t>
  </si>
  <si>
    <t xml:space="preserve">Manque trou de fixation ETEC 115VU | NonConformity 0001 : Type of nonconformity : Hole missing * Suite à l'inspection du stock des ETEC 115VU suit au problème de trou de fixation manquant , nous constatons que celle prévue pour le MSN 2167 fait partie des pièces impactées. * Nous demandons le remplacement de celle-ci  Text Description :  - TEL~ #TEL~ Task Completed : 0200 `` DO00 `` Task Description : NC traitée suivant le SO1 1030067935.  - Task Completed : 1000 `` ATQ0 `` Task Description : CHECK OK</t>
  </si>
  <si>
    <t xml:space="preserve">218276828</t>
  </si>
  <si>
    <t xml:space="preserve">Manque trou de fixation ETEC 115VU | NonConformity 0001 : Type of nonconformity : Hole missing * Lors du montage de l'ETEC 115VU , nous constatons l'absence d'un trou de fixation de celle-ci. * Voir standard doc Merci de commander une nouvelle pièce.  Text Description :  - TEL~ #TEL~ Task Completed : 0200 `` DO00 `` Task Description : Pas d'action côté ST  - Task Completed : 1000 `` ATQ0 `` Task Description : ETEC posée par le TEST</t>
  </si>
  <si>
    <t xml:space="preserve">164</t>
  </si>
  <si>
    <t xml:space="preserve">M87532535000S01</t>
  </si>
  <si>
    <t xml:space="preserve">EQUIPEMENT PLATINE RELAIS 305VU</t>
  </si>
  <si>
    <t xml:space="preserve">Mauvaise MEO bleu de métal porte 305 | Removed for classification reason</t>
  </si>
  <si>
    <t xml:space="preserve">DOUILLES AUTO-FREINE ENDOMMAGEES | NonConformity 0001 : Type of nonconformity : Structural and Mechanical Assembly * Sur la ligne A330 , MSN 2149 , 743VU , nous constatons que les douilles auto-freinées NAS1836-08-11M sont endommagées. Voir standard doc. * Nous demandons un parachèvement pour la remise en conformité du produit.  Task Completed : 0100 `` DEC0 `` Request for Supplier Assessment Decision Taken : External Exchange Text Description :  Task Completed : 0248 `` STE0 `` Request for Supplier Assessment Decision Taken : External Exchange Text Description : Travail effectué par le RCC vi</t>
  </si>
  <si>
    <t xml:space="preserve">AXE A ANNEAU RABAT CASSE | NonConformity 0001 : Type of nonconformity : Structural and Mechanical Assembly * Sur la ligne A330 , MSN 2149 , 740 VU , nous constatons lors du contrôle incoming que l'axe à anneau NSA55194-17 est cassé. Voir doc déclaratif. Nous demandons un parachèvement pour la remise en conformité.  Task Completed : 0100 `` DEC0 `` Request for Supplier Assessment Decision Taken : External Exchange Text Description :  - Task Completed : 0300 `` ATW0 `` Task Description : Travail fait sur avion suivant OT 1028309295</t>
  </si>
  <si>
    <t xml:space="preserve">216060124</t>
  </si>
  <si>
    <t xml:space="preserve">SOCLE DE RACCORDEMENT ENDOMMAGE</t>
  </si>
  <si>
    <t xml:space="preserve">13CE</t>
  </si>
  <si>
    <t xml:space="preserve">SOCLE DE RACCORDEMENT ENDOMMAGE | NonConformity 0001 : Type of nonconformity : Electrical Assembly Installation * Sur la ligne A330 , MSN 2143 , 740 VU , nous constatons que le socle de raccordement NSA932844CN sur le FIN 13CE est endommagé. Voir doc déclaratif. Nous demandons le remplacement de l'équipement. *  Task Completed : 0100 `` DEC0 `` Decision Taken : REJECT Part Fitted Justification : Equipement endommagé * MRP CONTROLER : MATERIAL GROUP : ++++++++++++++++++++++++++++++++++++++++ * Text Description :  - Task Completed : 0150 `` DO00 `` Task Description : NC PRISE EN COMPTE PAR SO3 1</t>
  </si>
  <si>
    <t xml:space="preserve">216575897</t>
  </si>
  <si>
    <t xml:space="preserve">2026-02-27</t>
  </si>
  <si>
    <t xml:space="preserve">SOCLE DE RACCORDEMENT ENDOMMAGE | NonConformity 0001 : Type of nonconformity : Electrical Assembly Installation * Sur la ligne A330 , nous constatons que le socle de raccordement NSA932844CN a été endommagé. Nous demandons un nouveau socle  Text Description :  - TEL~ #TEL~ Task Completed : 0150 `` DO00 `` Task Description : sur so1 1028362896  - TEL~ Task Completed : 0400 `` ATW0 `` Task Description : Travail effectué</t>
  </si>
  <si>
    <t xml:space="preserve">216602069</t>
  </si>
  <si>
    <t xml:space="preserve">Socle de raccordement relais endommagé</t>
  </si>
  <si>
    <t xml:space="preserve">Socle de raccordement relais endommagé | TEL~ #TEL~ NonConformity 0001 : Type of nonconformity : Electrical Assembly Installation * Sur la ligne A330 , nous constatons que le socle de raccordement NSA932844CN ; platine relais 17CE ; QTY : 1 du 740 VU MSN 2152 a été endommagé. * Nous demandons un nouveau socle et un test de sonnage après la remise en conformité.  TEL~ #TEL~ Task Completed : 0100 `` DEC0 `` Decision Taken : REJECT Part Fitted Justification : socle relais endommagé * MRP CONTROLER : MATERIAL GROUP : ++++++++++++++++++++++++++++++++++++++++ * Text Description :  - TEL~ #TEL~ Task </t>
  </si>
  <si>
    <t xml:space="preserve">217107871</t>
  </si>
  <si>
    <t xml:space="preserve">SOCLE DE RACCORDEMENT ABIME | NonConformity 0001 : Type of nonconformity : Electrical Assembly Installation * Sur la ligne A330 , 740VU , MSN 2159 , nous constatons que le socle de raccordement NSA932844CN est abîmé. * Nous demandons le remplacement de l'équipement.  Text Description :  - Task Completed : 0150 `` DO00 `` Task Description : SO3 1029337275  - TEL~ #TEL~ Task Completed : 0200 `` DO00 `` Task Description : NC Prise en compte par OF 1029337275.  - Task Completed : 1000 `` ATQ0 `` Task Description : CHECK OK *</t>
  </si>
  <si>
    <t xml:space="preserve">217149659</t>
  </si>
  <si>
    <t xml:space="preserve">SOCLE DE RACCORDEMENT ABIME | NonConformity 0001 : Type of nonconformity : Electrical Assembly Installation * Sur la ligne A330 , 740 VU , MSN 2154 , nous constatons que le socle de raccordement NSA932844CN sur FIN 17CE est endommagé. * Nous demandons le remplacement de l'équipement.  Text Description :  - TEL~ #TEL~ Task Completed : 0200 `` DO00 `` Task Description : NC prise en compte par OF 1029398516.  - Task Completed : 1000 `` ATQ0 `` Task Description : remis en conformité</t>
  </si>
  <si>
    <t xml:space="preserve">2141</t>
  </si>
  <si>
    <t xml:space="preserve">3XB</t>
  </si>
  <si>
    <t xml:space="preserve">SOCLE DE RACCORDEMENT NSA932847AA H.S. | NonConformity 0001 : Type of nonconformity : Electrical Assembly Installation * Sur la ligne A330 , 740VU , MSN 2141 , nous constatons que le socle de raccordement NSA932847AA est endommagé. Nous demandons le remplacement de l'équipement.  Task Completed : 0100 `` DEC0 `` Decision Taken : REJECT Part Fitted Justification : Remplacement de l'équipement * MRP CONTROLER : MATERIAL GROUP : ++++++++++++++++++++++++++++++++++++++++ * Text Description : TEL~ #TEL~ Vu avec la qualité FIN 3XB  - Task Completed : 0150 `` DO00 `` Task Description : NC PRISE EN COM</t>
  </si>
  <si>
    <t xml:space="preserve">217448134</t>
  </si>
  <si>
    <t xml:space="preserve">VOYANT RECTANGULAIRE ENDOMMAGE</t>
  </si>
  <si>
    <t xml:space="preserve">VOYANT RECTANGULAIRE ENDOMMAGE | NonConformity 0001 : Type of nonconformity : Electrical Assembly Installation * Sur la ligne A330 , MSN 2161 , 221VU , nous constatons sur le FIN 23FP que le voyant rectangulaire NSA933620-111 est endommagé. * Nous demandons le remplacement de l'équipement.  Text Description :  - Task Completed : 0150 `` DO00 `` Task Description : NC prise en compte par SO3 1029399719  - TEL~ #TEL~ Task Completed : 0200 `` DO00 `` Task Description : NC pris en compte par OF 1029869308.  - Task Completed : 1000 `` ATQ0 `` Task Description : CHECK OK</t>
  </si>
  <si>
    <t xml:space="preserve">217739535</t>
  </si>
  <si>
    <t xml:space="preserve">Ailette tordue sur voyant rectangulaire | NonConformity 0001 : Type of nonconformity : Electrical Assembly Installation * Sur la ligne A330 , nous constatons qu'une ailette a ete endommagée sur le connecteur rectangulaire = &gt; NSA933620-111.  Text Description :  - Task Completed : 0400 `` ATW0 `` Task Description : &gt; X &gt; X* ras *  - Task Completed : 1000 `` ATQ0 `` Task Description : REMIS EN CONFORMITE</t>
  </si>
  <si>
    <t xml:space="preserve">815</t>
  </si>
  <si>
    <t xml:space="preserve">Support mousse montage tuyauterie abimé | NonConformity 0001 : Type of nonconformity : Structural and Mechanical Assembly * Sur la ligne A350 , poste intégration , nous avons constaté que le support en mousse prévu à l’endroit du montage de la tuyauterie situé en haut en face avant du MIP est abimé. Demandons intervention. *  Task Completed : 0100 `` DEC0 `` Request for Supplier Assessment Decision Taken : External Exchange Text Description :  - Task Completed : 1000 `` ATQ0 `` Task Description : L'élément est remplacé *</t>
  </si>
  <si>
    <t xml:space="preserve">844</t>
  </si>
  <si>
    <t xml:space="preserve">Tuyauterie ATA21 desserrée | TEL~ #TEL~ NonConformity 0001 : Type of nonconformity : Fastener ( incl. Bolt/Screw/Washer/Bush ) * Il a été constaté sur le poste integration du MIP A350 que la tuyauterie positionnée coté droit a l'avant du MIP n'est pas serrée , veuillez s'il vous plait remettre en conformité.  TEL~ #TEL~ Task Completed : 0100 `` DEC0 `` Request for Supplier Assessment Decision Taken : External Exchange Text Description :</t>
  </si>
  <si>
    <t xml:space="preserve">FTI</t>
  </si>
  <si>
    <t xml:space="preserve">701</t>
  </si>
  <si>
    <t xml:space="preserve">V2121552200400 V2121512205000 V2121510202200</t>
  </si>
  <si>
    <t xml:space="preserve">219ZCA965</t>
  </si>
  <si>
    <t xml:space="preserve">VNEP030000100</t>
  </si>
  <si>
    <t xml:space="preserve">PNE cargo 1</t>
  </si>
  <si>
    <t xml:space="preserve">Filetage abîmé capteur 219ZCA965 | Filetage abîmé capteur 219ZCA965  Moment of Detection : During inspection * Element designation : * Sub-Element designation : *  NonConformity 0001 : Type of nonconformity : Incorrect Thread * Lors de l'inspection sur la reconnexion du capteur 219ZCA965 sur la tuyauterie V2121552200400 en fond de soute 1 à droite , nous contastons le filetage trop abimé pour pouvoir le connecter. * Merci de bien vouloir remettre en conformité *  CA : WD000 CI : W21C30810000 DS : V2121512205000  Task Completed : 0100 `` DEC0 `` Request for Supplier Assessment Decision Taken : </t>
  </si>
  <si>
    <t xml:space="preserve">V2121597801600 V2121510201400 V2121512405000 V2129753023800</t>
  </si>
  <si>
    <t xml:space="preserve">219ZCA258</t>
  </si>
  <si>
    <t xml:space="preserve">Filetage abîmé capteur 219ZCA258 | Filetage abîmé capteur 219ZCA258 TEL~ #TEL~ NonConformity 0001 : Type of nonconformity : Incorrect Thread * Lors du raccordement du capteur 219ZCA258 à la tuyauterie située au bas de la soute 1 , nous avons constaté que le filetage était trop endommagé pour permettre le raccordement. Demande ntervention. * When connecting sensor 219ZCA258 to the piping at the bottom of hold 1 , we found the threading too damaged to allow the connection to be made. Intervention requested.  TEL~ #TEL~ Problem with standard doc and doc MTI. / See standard in PJ TEL~ #TEL~ Valid </t>
  </si>
  <si>
    <t xml:space="preserve">V25117110000S02</t>
  </si>
  <si>
    <t xml:space="preserve">Montage tuyaurie</t>
  </si>
  <si>
    <t xml:space="preserve">Tuyauterie endommagée | Tuyauterie endommagée NonConformity 0001 : Type of nonconformity : Impact * Lors de la réception de la tuyauterie V2511259700000 EQUIPED DUCT item 0007 nous constatons un impact sur la surface au niveau du ruban adhésif marron. Voir STdoc. Demandons le remplacement de la pièce.  Task Completed : 0100 `` DEC0 `` Decision Taken : REJECT Part Not Fitted Justification : Demandons remplacement de la pièce ++++++++++++++++++++++++++++++++++++++++ Material characteristics * WBS : MSV-000868/WF492 Material : V2511259700000 * MRP CONTROLER : XWB HAMEG NORA +33688209317 STORAGE L</t>
  </si>
  <si>
    <t xml:space="preserve">851</t>
  </si>
  <si>
    <t xml:space="preserve">V25117110000S01</t>
  </si>
  <si>
    <t xml:space="preserve">Installation contre-plaques Arinc</t>
  </si>
  <si>
    <t xml:space="preserve">Platine Arinc endommagée | NonConformity 0001 : Type of nonconformity : Part not installed * Sur la ligne A350 , poste Meca , nous avons constaté que la peinture verte sur une platine ARINC V2511508220200 n'est plus présente. Nous demandons le remplacement de la platine ARINC V2511508220200. * Attention , cet avis annule et remplace la NC 216745007 pour le MSN840 = swap *  Text Description :</t>
  </si>
  <si>
    <t xml:space="preserve">216164096</t>
  </si>
  <si>
    <t xml:space="preserve">V92913004000S01</t>
  </si>
  <si>
    <t xml:space="preserve">Equipement méca platine harnais 1101VB</t>
  </si>
  <si>
    <t xml:space="preserve">Numéro de serie effacé de la platine | NonConformity 0001 : Type of nonconformity : Part not installed * Sur la ligne A350 poste Méca , nous avons constaté que le numéro de série de la platine V9241843400000 à été effacé en voulant nettoyer du bleu de métalisation. * Nous demandons le remplacement de la platine V9241843400000 *  Text Description :</t>
  </si>
  <si>
    <t xml:space="preserve">217134193</t>
  </si>
  <si>
    <t xml:space="preserve">837</t>
  </si>
  <si>
    <t xml:space="preserve">Part Number effacé de la platine</t>
  </si>
  <si>
    <t xml:space="preserve">Part Number effacé de la platine | NonConformity 0001 : Type of nonconformity : Part not installed * Sur la ligne A350 poste Méca , nous avons constaté que le numéro de série de la platine V9241843400000 à été effacé en voulant nettoyer du bleu de métalisation. * Nous demandons le remplacement de la platine V9241843400000 *  Text Description :  - Task Completed : 0400 `` ATW0 `` Task Description : Remise en conformité fait par #PRS~ #PRS~</t>
  </si>
  <si>
    <t xml:space="preserve">840</t>
  </si>
  <si>
    <t xml:space="preserve">V9241920800000 V9241948100000</t>
  </si>
  <si>
    <t xml:space="preserve">V9281439500000</t>
  </si>
  <si>
    <t xml:space="preserve">Installation supports et clampes du Pylo</t>
  </si>
  <si>
    <t xml:space="preserve">Rampe endommagée | NonConformity 0001 : Type of nonconformity : Riveting * Sur la ligne A350 , poste MECA , nous avons constaté que le support clamp V9241920800000 est mal riveté sur la platine V9241948100000 , le maintien sur la platine est insuffisant. Nous demandons le remplacement de la platine. *  Text Description :  - Task Completed : 0200 `` DO00 `` Task Description : RAMPE NON MONTE PAS DE S03  - Task Completed : 0400 `` ATW0 `` Task Description : Rampe remontée RAS  - Task Completed : 1000 `` ATQ0 `` Task Description : Travail effectué</t>
  </si>
  <si>
    <t xml:space="preserve">V9241944600000 V9241948100000</t>
  </si>
  <si>
    <t xml:space="preserve">Rampe endommagée | NonConformity 0001 : Type of nonconformity : Riveting * Sur la ligne A350 , poste MECA , nous avons constaté que le support V9241944600000 est mal riveté sur la rampe V9241948100000 , le maintien sur la rampe est insuffisant. Nous demandons le remplacement de la rampe. *  Text Description :  - Task Completed : 0200 `` DO00 `` Task Description : * Phase Montage de la rampe prise en compte par la SO1 car rampe non montée .</t>
  </si>
  <si>
    <t xml:space="preserve">216905392</t>
  </si>
  <si>
    <t xml:space="preserve">RAMPE SOUDEE ENDOMMAGEE | NonConformity 0001 : Type of nonconformity : Broken * Sur la ligne A350 MIP MSN 840 , lors de la réception nous constatons que la RAMPE SOUDEE V924.19487.00000 est endommagée. * Voir standard doc. * Nous demandons le remplacement de la rampe.  Text Description :</t>
  </si>
  <si>
    <t xml:space="preserve">217607114</t>
  </si>
  <si>
    <t xml:space="preserve">728</t>
  </si>
  <si>
    <t xml:space="preserve">Rampe cassée</t>
  </si>
  <si>
    <t xml:space="preserve">Rampe cassée | TEL~ #TEL~ NonConformity 0001 : Type of nonconformity : Welding/Soldering * L'operateur a endommagé la rampe sur la soudure ( Fissure ) au niveau de l'attache prisonnier. Veuillez s'il vous plait remplacer la rampe V9241948700000  Text Description :  - Task Completed : 0200 `` DO00 `` Task Description : Montage de la RAMP fait a partir de l'OF 1029324998  - Task Completed : 0400 `` ATW0 `` Task Description : NC OK  - Task Completed : 1000 `` ATQ0 `` Task Description : Nouvelle rampe montée .</t>
  </si>
  <si>
    <t xml:space="preserve">Liability</t>
  </si>
  <si>
    <t xml:space="preserve">216366914</t>
  </si>
  <si>
    <t xml:space="preserve">0000314592</t>
  </si>
  <si>
    <t xml:space="preserve">314 VU STRUCTURE PEINTURE CADRE NC</t>
  </si>
  <si>
    <t xml:space="preserve">314 VU STRUCTURE peinture cadre NC</t>
  </si>
  <si>
    <t xml:space="preserve">216165997</t>
  </si>
  <si>
    <t xml:space="preserve">FFF1</t>
  </si>
  <si>
    <t xml:space="preserve">125VU</t>
  </si>
  <si>
    <t xml:space="preserve">6374845400</t>
  </si>
  <si>
    <t xml:space="preserve">ETEC 125VU ENDOMMAGE</t>
  </si>
  <si>
    <t xml:space="preserve">217128024</t>
  </si>
  <si>
    <t xml:space="preserve">249637</t>
  </si>
  <si>
    <t xml:space="preserve">2026-04-24</t>
  </si>
  <si>
    <t xml:space="preserve">NC TEST DEFAUT CONTINUITE</t>
  </si>
  <si>
    <t xml:space="preserve">216558859</t>
  </si>
  <si>
    <t xml:space="preserve">148971</t>
  </si>
  <si>
    <t xml:space="preserve">ABS0901R045</t>
  </si>
  <si>
    <t xml:space="preserve">Collier de tuyauterie non serré</t>
  </si>
  <si>
    <t xml:space="preserve">216969942</t>
  </si>
  <si>
    <t xml:space="preserve">0000154965</t>
  </si>
  <si>
    <t xml:space="preserve">2026-04-09</t>
  </si>
  <si>
    <t xml:space="preserve">ABS0951C3LM073</t>
  </si>
  <si>
    <t xml:space="preserve">Indicateur HS</t>
  </si>
  <si>
    <t xml:space="preserve">216062470</t>
  </si>
  <si>
    <t xml:space="preserve">SPAHUBC</t>
  </si>
  <si>
    <t xml:space="preserve">ABS2268C025A</t>
  </si>
  <si>
    <t xml:space="preserve">ATT*CKPT*C4/5*G*Manchon abîmé MIP*SD@*</t>
  </si>
  <si>
    <t xml:space="preserve">216312177</t>
  </si>
  <si>
    <t xml:space="preserve">147026</t>
  </si>
  <si>
    <t xml:space="preserve">ASNA2551A01</t>
  </si>
  <si>
    <t xml:space="preserve">MANQUE INSERT ASNA2551A01</t>
  </si>
  <si>
    <t xml:space="preserve">216785207</t>
  </si>
  <si>
    <t xml:space="preserve">2026-03-20</t>
  </si>
  <si>
    <t xml:space="preserve">INSERT ASNA2551A01 NON CONFORME</t>
  </si>
  <si>
    <t xml:space="preserve">216194905</t>
  </si>
  <si>
    <t xml:space="preserve">0000146662</t>
  </si>
  <si>
    <t xml:space="preserve">BARRETTES TORDUES</t>
  </si>
  <si>
    <t xml:space="preserve">Barrettes tordues</t>
  </si>
  <si>
    <t xml:space="preserve">217755445</t>
  </si>
  <si>
    <t xml:space="preserve">180892</t>
  </si>
  <si>
    <t xml:space="preserve">2026-07-03</t>
  </si>
  <si>
    <t xml:space="preserve">COCK*G/D*C06/09*L10*RIVETAGE OHP NC</t>
  </si>
  <si>
    <t xml:space="preserve">COCK*G/D*C06/09*L10*Rivetage OHP NC</t>
  </si>
  <si>
    <t xml:space="preserve">217584160</t>
  </si>
  <si>
    <t xml:space="preserve">150597</t>
  </si>
  <si>
    <t xml:space="preserve">CÔTES MEUBLE 300VU HORS TOLÉRENCES</t>
  </si>
  <si>
    <t xml:space="preserve">Côtes Meuble 300VU hors tolérences</t>
  </si>
  <si>
    <t xml:space="preserve">216431908</t>
  </si>
  <si>
    <t xml:space="preserve">E0062C0S4BA0A</t>
  </si>
  <si>
    <t xml:space="preserve">Manque misserie sur inverseur</t>
  </si>
  <si>
    <t xml:space="preserve">216433442</t>
  </si>
  <si>
    <t xml:space="preserve">E0665B4AA0B03A</t>
  </si>
  <si>
    <t xml:space="preserve">Manque visserie sur interrupteur</t>
  </si>
  <si>
    <t xml:space="preserve">217770059</t>
  </si>
  <si>
    <t xml:space="preserve">2026-07-06</t>
  </si>
  <si>
    <t xml:space="preserve">ETIQUETTES CHÂSSIS DÉCOLLÉES</t>
  </si>
  <si>
    <t xml:space="preserve">Etiquettes Châssis décollées</t>
  </si>
  <si>
    <t xml:space="preserve">216872509</t>
  </si>
  <si>
    <t xml:space="preserve">0000180892</t>
  </si>
  <si>
    <t xml:space="preserve">631VU</t>
  </si>
  <si>
    <t xml:space="preserve">2026-03-30</t>
  </si>
  <si>
    <t xml:space="preserve">F9251059700400</t>
  </si>
  <si>
    <t xml:space="preserve">RAMPE EQUIPEE F9251059700400 ENDOMMAGEE</t>
  </si>
  <si>
    <t xml:space="preserve">217195075</t>
  </si>
  <si>
    <t xml:space="preserve">2026-05-04</t>
  </si>
  <si>
    <t xml:space="preserve">F9251128100000</t>
  </si>
  <si>
    <t xml:space="preserve">VIS NON CONFORME</t>
  </si>
  <si>
    <t xml:space="preserve">217195435</t>
  </si>
  <si>
    <t xml:space="preserve">217219461</t>
  </si>
  <si>
    <t xml:space="preserve">2026-05-06</t>
  </si>
  <si>
    <t xml:space="preserve">F9251390800000</t>
  </si>
  <si>
    <t xml:space="preserve">manque peinture STRUCTURE BOITE</t>
  </si>
  <si>
    <t xml:space="preserve">217283307</t>
  </si>
  <si>
    <t xml:space="preserve">2026-05-13</t>
  </si>
  <si>
    <t xml:space="preserve">MANQUE PEINTURE PORTE 743VU</t>
  </si>
  <si>
    <t xml:space="preserve">217067656</t>
  </si>
  <si>
    <t xml:space="preserve">F9251529300000</t>
  </si>
  <si>
    <t xml:space="preserve">MAUVAISE EQUERRE EQUIPEE MONTEE</t>
  </si>
  <si>
    <t xml:space="preserve">216751384</t>
  </si>
  <si>
    <t xml:space="preserve">V48N11</t>
  </si>
  <si>
    <t xml:space="preserve">2026-03-17</t>
  </si>
  <si>
    <t xml:space="preserve">FIN 020ZCA002</t>
  </si>
  <si>
    <t xml:space="preserve">Incorrect positioning TATprobes C0 RH/LH</t>
  </si>
  <si>
    <t xml:space="preserve">216879333</t>
  </si>
  <si>
    <t xml:space="preserve">FIN 105SG1</t>
  </si>
  <si>
    <t xml:space="preserve">Retouche Test 313VU MSN 02158.</t>
  </si>
  <si>
    <t xml:space="preserve">216920395</t>
  </si>
  <si>
    <t xml:space="preserve">Retouche Test 313VU MSN 02153.</t>
  </si>
  <si>
    <t xml:space="preserve">216920654</t>
  </si>
  <si>
    <t xml:space="preserve">FIN 105SG2</t>
  </si>
  <si>
    <t xml:space="preserve">Retouche Test 314VU MSN 02153.</t>
  </si>
  <si>
    <t xml:space="preserve">217109218</t>
  </si>
  <si>
    <t xml:space="preserve">FIN 111LF</t>
  </si>
  <si>
    <t xml:space="preserve">Scratch on intergrated light plate 111LF</t>
  </si>
  <si>
    <t xml:space="preserve">218017365</t>
  </si>
  <si>
    <t xml:space="preserve">255VU</t>
  </si>
  <si>
    <t xml:space="preserve">2026-08-17</t>
  </si>
  <si>
    <t xml:space="preserve">FIN 12WG</t>
  </si>
  <si>
    <t xml:space="preserve">ALB ID 285 / 12WG PUSH BUTTON</t>
  </si>
  <si>
    <t xml:space="preserve">218028105</t>
  </si>
  <si>
    <t xml:space="preserve">2026-08-18</t>
  </si>
  <si>
    <t xml:space="preserve">ALB ID 338 / 12WG PUSH BUTTON</t>
  </si>
  <si>
    <t xml:space="preserve">218023739</t>
  </si>
  <si>
    <t xml:space="preserve">ALB ID 142 / 12WG PUSH BUTTON</t>
  </si>
  <si>
    <t xml:space="preserve">218048984</t>
  </si>
  <si>
    <t xml:space="preserve">QSR TO/F/EQ/26-00012 / 12WG PUSH BUTTON</t>
  </si>
  <si>
    <t xml:space="preserve">217192676</t>
  </si>
  <si>
    <t xml:space="preserve">FIN 12WG-A</t>
  </si>
  <si>
    <t xml:space="preserve">MONTAGE TETE DE BRANCHEMENT INVERSE</t>
  </si>
  <si>
    <t xml:space="preserve">216225174</t>
  </si>
  <si>
    <t xml:space="preserve">FIN 1DG1</t>
  </si>
  <si>
    <t xml:space="preserve">Refus disjoncteur 740VU MSN 02145.</t>
  </si>
  <si>
    <t xml:space="preserve">217106860</t>
  </si>
  <si>
    <t xml:space="preserve">TO</t>
  </si>
  <si>
    <t xml:space="preserve">FIN 1WK53</t>
  </si>
  <si>
    <t xml:space="preserve">MIP // Bleu de métal sur ata21</t>
  </si>
  <si>
    <t xml:space="preserve">216391179</t>
  </si>
  <si>
    <t xml:space="preserve">215VU</t>
  </si>
  <si>
    <t xml:space="preserve">2026-02-10</t>
  </si>
  <si>
    <t xml:space="preserve">FIN 215LF</t>
  </si>
  <si>
    <t xml:space="preserve">Etec EQ 215LF à remplacer</t>
  </si>
  <si>
    <t xml:space="preserve">217299194</t>
  </si>
  <si>
    <t xml:space="preserve">000000154965</t>
  </si>
  <si>
    <t xml:space="preserve">2026-05-18</t>
  </si>
  <si>
    <t xml:space="preserve">FIN 21CE</t>
  </si>
  <si>
    <t xml:space="preserve">Affichage 21CE défaillant</t>
  </si>
  <si>
    <t xml:space="preserve">217305316</t>
  </si>
  <si>
    <t xml:space="preserve">FIN 22LE</t>
  </si>
  <si>
    <t xml:space="preserve">Retouche Test 112VU MSN 02140</t>
  </si>
  <si>
    <t xml:space="preserve">217113926</t>
  </si>
  <si>
    <t xml:space="preserve">Retouche Test 221VU MSN 02154</t>
  </si>
  <si>
    <t xml:space="preserve">217325244</t>
  </si>
  <si>
    <t xml:space="preserve">Retouche Test 221VU MSN 02140</t>
  </si>
  <si>
    <t xml:space="preserve">217325057</t>
  </si>
  <si>
    <t xml:space="preserve">FIN 24FP3</t>
  </si>
  <si>
    <t xml:space="preserve">Retouches Test 221VU MSN 02140</t>
  </si>
  <si>
    <t xml:space="preserve">216058462</t>
  </si>
  <si>
    <t xml:space="preserve">0000163325</t>
  </si>
  <si>
    <t xml:space="preserve">FIN 24LE</t>
  </si>
  <si>
    <t xml:space="preserve">Retouche Test 265VU MSN 02148</t>
  </si>
  <si>
    <t xml:space="preserve">217149828</t>
  </si>
  <si>
    <t xml:space="preserve">261VU</t>
  </si>
  <si>
    <t xml:space="preserve">FIN 261LF</t>
  </si>
  <si>
    <t xml:space="preserve">Etec 261LF endommagée</t>
  </si>
  <si>
    <t xml:space="preserve">218014667</t>
  </si>
  <si>
    <t xml:space="preserve">FIN 2WD1</t>
  </si>
  <si>
    <t xml:space="preserve">ALB ID 193 / 2WD1 PUSH BUTTON</t>
  </si>
  <si>
    <t xml:space="preserve">218017224</t>
  </si>
  <si>
    <t xml:space="preserve">ALB ID 285 / 2WD1 PUSH BUTTON</t>
  </si>
  <si>
    <t xml:space="preserve">218027807</t>
  </si>
  <si>
    <t xml:space="preserve">ALB ID 338 / 2WD1 PUSH BUTTON</t>
  </si>
  <si>
    <t xml:space="preserve">218023660</t>
  </si>
  <si>
    <t xml:space="preserve">ALB ID 142 / 2WD1 PUSH BUTTON</t>
  </si>
  <si>
    <t xml:space="preserve">218048597</t>
  </si>
  <si>
    <t xml:space="preserve">QSR TO/F/EQ/26-00012 / 2WD1 PUSH BUTTON</t>
  </si>
  <si>
    <t xml:space="preserve">218048019</t>
  </si>
  <si>
    <t xml:space="preserve">218017308</t>
  </si>
  <si>
    <t xml:space="preserve">FIN 2WD2</t>
  </si>
  <si>
    <t xml:space="preserve">ALB ID 285 / 2WD2 PUSH BUTTON</t>
  </si>
  <si>
    <t xml:space="preserve">218028102</t>
  </si>
  <si>
    <t xml:space="preserve">ALB ID 338 / 2WD2 PUSH BUTTON</t>
  </si>
  <si>
    <t xml:space="preserve">218023731</t>
  </si>
  <si>
    <t xml:space="preserve">ALB ID 142 / 2WD2 PUSH BUTTON</t>
  </si>
  <si>
    <t xml:space="preserve">218048644</t>
  </si>
  <si>
    <t xml:space="preserve">QSR TO/F/EQ/26-00012 / 2WD2 PUSH BUTTON</t>
  </si>
  <si>
    <t xml:space="preserve">218048287</t>
  </si>
  <si>
    <t xml:space="preserve">218048980</t>
  </si>
  <si>
    <t xml:space="preserve">218048799</t>
  </si>
  <si>
    <t xml:space="preserve">217823906</t>
  </si>
  <si>
    <t xml:space="preserve">2026-07-10</t>
  </si>
  <si>
    <t xml:space="preserve">FIN 300VG400</t>
  </si>
  <si>
    <t xml:space="preserve">Modules VG défefectueux</t>
  </si>
  <si>
    <t xml:space="preserve">216675554</t>
  </si>
  <si>
    <t xml:space="preserve">FIN 300VN359</t>
  </si>
  <si>
    <t xml:space="preserve">problème de rivet sur la VN 300VN359 B1</t>
  </si>
  <si>
    <t xml:space="preserve">216658604</t>
  </si>
  <si>
    <t xml:space="preserve">0000291146</t>
  </si>
  <si>
    <t xml:space="preserve">2026-03-09</t>
  </si>
  <si>
    <t xml:space="preserve">Retouche Test 115VU MSN 02156.</t>
  </si>
  <si>
    <t xml:space="preserve">216543862</t>
  </si>
  <si>
    <t xml:space="preserve">291146</t>
  </si>
  <si>
    <t xml:space="preserve">2026-02-25</t>
  </si>
  <si>
    <t xml:space="preserve">FIN 3DB2</t>
  </si>
  <si>
    <t xml:space="preserve">Retouche Test 212VU MSN 02149.</t>
  </si>
  <si>
    <t xml:space="preserve">216395324</t>
  </si>
  <si>
    <t xml:space="preserve">Contacteur 3XC à remplacer</t>
  </si>
  <si>
    <t xml:space="preserve">216971047</t>
  </si>
  <si>
    <t xml:space="preserve">196706</t>
  </si>
  <si>
    <t xml:space="preserve">FIN 7LZ1</t>
  </si>
  <si>
    <t xml:space="preserve">Prise 7LZ1 B FREINAGE NON CONFORME</t>
  </si>
  <si>
    <t xml:space="preserve">217738262</t>
  </si>
  <si>
    <t xml:space="preserve">217556762</t>
  </si>
  <si>
    <t xml:space="preserve">2026-06-15</t>
  </si>
  <si>
    <t xml:space="preserve">FIN 8QJ2</t>
  </si>
  <si>
    <t xml:space="preserve">Retouches Test 990VU MSN 02161.</t>
  </si>
  <si>
    <t xml:space="preserve">217898990</t>
  </si>
  <si>
    <t xml:space="preserve">MCMSA3</t>
  </si>
  <si>
    <t xml:space="preserve">IMPACT SUR ANGLE EXTÉRIEUR MEUBLE 300VU</t>
  </si>
  <si>
    <t xml:space="preserve">Impact sur angle extérieur meuble 300VU</t>
  </si>
  <si>
    <t xml:space="preserve">216701496</t>
  </si>
  <si>
    <t xml:space="preserve">INDICATEUR CONTROLE-SIGNAL NON CONFORME</t>
  </si>
  <si>
    <t xml:space="preserve">216312731</t>
  </si>
  <si>
    <t xml:space="preserve">LONGUEUR VIS NON CONFORME</t>
  </si>
  <si>
    <t xml:space="preserve">Longueur vis non conforme</t>
  </si>
  <si>
    <t xml:space="preserve">218293356</t>
  </si>
  <si>
    <t xml:space="preserve">742VU</t>
  </si>
  <si>
    <t xml:space="preserve">2026-09-16</t>
  </si>
  <si>
    <t xml:space="preserve">MANQUE PEINTURE SUR PORTE 742VU</t>
  </si>
  <si>
    <t xml:space="preserve">216409973</t>
  </si>
  <si>
    <t xml:space="preserve">MANQUE PERCAGE PORTE 304VU</t>
  </si>
  <si>
    <t xml:space="preserve">Manque percage porte 304VU</t>
  </si>
  <si>
    <t xml:space="preserve">216417528</t>
  </si>
  <si>
    <t xml:space="preserve">2026-02-12</t>
  </si>
  <si>
    <t xml:space="preserve">216590798</t>
  </si>
  <si>
    <t xml:space="preserve">2026-03-02</t>
  </si>
  <si>
    <t xml:space="preserve">MAUVAISE POSITION PLAQUES SUR RAMPE OHP</t>
  </si>
  <si>
    <t xml:space="preserve">Mauvaise position plaques sur rampe OHP</t>
  </si>
  <si>
    <t xml:space="preserve">217087015</t>
  </si>
  <si>
    <t xml:space="preserve">2026-04-21</t>
  </si>
  <si>
    <t xml:space="preserve">MODULES VG NON CONFORMES</t>
  </si>
  <si>
    <t xml:space="preserve">Modules VG non conformes</t>
  </si>
  <si>
    <t xml:space="preserve">217109184</t>
  </si>
  <si>
    <t xml:space="preserve">NAS1836</t>
  </si>
  <si>
    <t xml:space="preserve">INSERT douilles autofréines NAS1836 NC</t>
  </si>
  <si>
    <t xml:space="preserve">216323243</t>
  </si>
  <si>
    <t xml:space="preserve">2026-02-03</t>
  </si>
  <si>
    <t xml:space="preserve">NSA937901RB0040</t>
  </si>
  <si>
    <t xml:space="preserve">RAIL NON CONFORME</t>
  </si>
  <si>
    <t xml:space="preserve">216926542</t>
  </si>
  <si>
    <t xml:space="preserve">FTO1</t>
  </si>
  <si>
    <t xml:space="preserve">NSA940000-10701</t>
  </si>
  <si>
    <t xml:space="preserve">Provion V89P03115000 manquante sur avion</t>
  </si>
  <si>
    <t xml:space="preserve">216704011</t>
  </si>
  <si>
    <t xml:space="preserve">PIONS MAL POSITIONNÉS</t>
  </si>
  <si>
    <t xml:space="preserve">Pions mal positionnés</t>
  </si>
  <si>
    <t xml:space="preserve">217013474</t>
  </si>
  <si>
    <t xml:space="preserve">PLATINE ÉQUIPÉE NON CONFORME</t>
  </si>
  <si>
    <t xml:space="preserve">Platine équipée non conforme</t>
  </si>
  <si>
    <t xml:space="preserve">218338648</t>
  </si>
  <si>
    <t xml:space="preserve">PRISONIERS SUR PLATINE MONTÉS À L'ENVERS</t>
  </si>
  <si>
    <t xml:space="preserve">Prisoniers sur platine montés à l'envers</t>
  </si>
  <si>
    <t xml:space="preserve">216195285</t>
  </si>
  <si>
    <t xml:space="preserve">RAILS BARRETTES TORDUES</t>
  </si>
  <si>
    <t xml:space="preserve">Rails barrettes tordues</t>
  </si>
  <si>
    <t xml:space="preserve">216195247</t>
  </si>
  <si>
    <t xml:space="preserve">216195473</t>
  </si>
  <si>
    <t xml:space="preserve">216195391</t>
  </si>
  <si>
    <t xml:space="preserve">216195196</t>
  </si>
  <si>
    <t xml:space="preserve">216242498</t>
  </si>
  <si>
    <t xml:space="preserve">216518890</t>
  </si>
  <si>
    <t xml:space="preserve">2026-02-23</t>
  </si>
  <si>
    <t xml:space="preserve">RAMPE OHP NON CONFORME</t>
  </si>
  <si>
    <t xml:space="preserve">Rampe OHP non conforme</t>
  </si>
  <si>
    <t xml:space="preserve">216669268</t>
  </si>
  <si>
    <t xml:space="preserve">217724439</t>
  </si>
  <si>
    <t xml:space="preserve">2026-07-01</t>
  </si>
  <si>
    <t xml:space="preserve">RETOUCHE TEST 115VU ETEC</t>
  </si>
  <si>
    <t xml:space="preserve">Retouche Test 115VU ETEC MSN 02163.</t>
  </si>
  <si>
    <t xml:space="preserve">216377519</t>
  </si>
  <si>
    <t xml:space="preserve">0000177066</t>
  </si>
  <si>
    <t xml:space="preserve">S/N CNTOR NON CONFORME</t>
  </si>
  <si>
    <t xml:space="preserve">S/N CNTOR non conforme</t>
  </si>
  <si>
    <t xml:space="preserve">218301700</t>
  </si>
  <si>
    <t xml:space="preserve">STAMP ETIQUETTE SATO ILLISIBLE</t>
  </si>
  <si>
    <t xml:space="preserve">Stamp Etiquette Sato Illisible</t>
  </si>
  <si>
    <t xml:space="preserve">218301504</t>
  </si>
  <si>
    <t xml:space="preserve">218302333</t>
  </si>
  <si>
    <t xml:space="preserve">218302212</t>
  </si>
  <si>
    <t xml:space="preserve">218302070</t>
  </si>
  <si>
    <t xml:space="preserve">218298988</t>
  </si>
  <si>
    <t xml:space="preserve">218299756</t>
  </si>
  <si>
    <t xml:space="preserve">218300354</t>
  </si>
  <si>
    <t xml:space="preserve">218300626</t>
  </si>
  <si>
    <t xml:space="preserve">217897765</t>
  </si>
  <si>
    <t xml:space="preserve">MIP A400M</t>
  </si>
  <si>
    <t xml:space="preserve">STAMP FOURNISSEUR ILLISIBLE SUR PLATINE</t>
  </si>
  <si>
    <t xml:space="preserve">Stamp fournisseur illisible sur platine</t>
  </si>
  <si>
    <t xml:space="preserve">217931840</t>
  </si>
  <si>
    <t xml:space="preserve">314VU</t>
  </si>
  <si>
    <t xml:space="preserve">2026-07-23</t>
  </si>
  <si>
    <t xml:space="preserve">STRUCTURE RAYEE SUR 314VU</t>
  </si>
  <si>
    <t xml:space="preserve">216579410</t>
  </si>
  <si>
    <t xml:space="preserve">TLB ID 50 // 740VU // FB173</t>
  </si>
  <si>
    <t xml:space="preserve">217135427</t>
  </si>
  <si>
    <t xml:space="preserve">TLB ID275 - 742 VU DOOR RING IMPACTED</t>
  </si>
  <si>
    <t xml:space="preserve">216402660</t>
  </si>
  <si>
    <t xml:space="preserve">TROUS OVALISÉS HORS TOLÉRENCE</t>
  </si>
  <si>
    <t xml:space="preserve">Trous ovalisés hors tolérence</t>
  </si>
  <si>
    <t xml:space="preserve">217608638</t>
  </si>
  <si>
    <t xml:space="preserve">TUYAUTERIE ATA 21 MAL POSITIONNÉE</t>
  </si>
  <si>
    <t xml:space="preserve">Tuyauterie ATA 21 mal positionnée</t>
  </si>
  <si>
    <t xml:space="preserve">216631298</t>
  </si>
  <si>
    <t xml:space="preserve">V0003007300200</t>
  </si>
  <si>
    <t xml:space="preserve">CKPT*C3/5*R1*D*Bielle rayée MIP*SD@*</t>
  </si>
  <si>
    <t xml:space="preserve">217682020</t>
  </si>
  <si>
    <t xml:space="preserve">VCSFLC</t>
  </si>
  <si>
    <t xml:space="preserve">CKPT*C1/3*R1*G*Bielle rayée MIP*SD@*</t>
  </si>
  <si>
    <t xml:space="preserve">216059511</t>
  </si>
  <si>
    <t xml:space="preserve">V2511110002200</t>
  </si>
  <si>
    <t xml:space="preserve">DIP/P20 J3/DAM/COC/ACS/</t>
  </si>
  <si>
    <t xml:space="preserve">216038266</t>
  </si>
  <si>
    <t xml:space="preserve">V2511259300400</t>
  </si>
  <si>
    <t xml:space="preserve">MOE montage tuyauterie ATA21 à reprendre</t>
  </si>
  <si>
    <t xml:space="preserve">217371362</t>
  </si>
  <si>
    <t xml:space="preserve">V5338394420000</t>
  </si>
  <si>
    <t xml:space="preserve">CAM A DEFAULT BELLY FAIRING</t>
  </si>
  <si>
    <t xml:space="preserve">216343617</t>
  </si>
  <si>
    <t xml:space="preserve">V8902028200400</t>
  </si>
  <si>
    <t xml:space="preserve">Syst Tuyaut à changer C14/C20 L8/L13 LH</t>
  </si>
  <si>
    <t xml:space="preserve">216343729</t>
  </si>
  <si>
    <t xml:space="preserve">216343847</t>
  </si>
  <si>
    <t xml:space="preserve">216343309</t>
  </si>
  <si>
    <t xml:space="preserve">216757718</t>
  </si>
  <si>
    <t xml:space="preserve">V9241943600000</t>
  </si>
  <si>
    <t xml:space="preserve">Rampe recu non coudé</t>
  </si>
  <si>
    <t xml:space="preserve">217709736</t>
  </si>
  <si>
    <t xml:space="preserve">VCSFLE</t>
  </si>
  <si>
    <t xml:space="preserve">2026-06-30</t>
  </si>
  <si>
    <t xml:space="preserve">V9241953200000</t>
  </si>
  <si>
    <t xml:space="preserve">CKPT*C8/9*L21/22*D*Platine rayée*SD@*</t>
  </si>
  <si>
    <t xml:space="preserve">216184552</t>
  </si>
  <si>
    <t xml:space="preserve">VISSERIE COURTES DANS INSERTS STRUCTURE</t>
  </si>
  <si>
    <t xml:space="preserve">Visserie courtes dans inserts structure</t>
  </si>
</sst>
</file>

<file path=xl/styles.xml><?xml version="1.0" encoding="utf-8"?>
<styleSheet xmlns="http://schemas.openxmlformats.org/spreadsheetml/2006/main">
  <numFmts count="3">
    <numFmt numFmtId="164" formatCode="General"/>
    <numFmt numFmtId="165" formatCode="0"/>
    <numFmt numFmtId="166" formatCode="#,##0.0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2"/>
    </font>
  </fonts>
  <fills count="5">
    <fill>
      <patternFill patternType="none"/>
    </fill>
    <fill>
      <patternFill patternType="gray125"/>
    </fill>
    <fill>
      <patternFill patternType="solid">
        <fgColor rgb="FF2F3B52"/>
        <bgColor rgb="FF333399"/>
      </patternFill>
    </fill>
    <fill>
      <patternFill patternType="solid">
        <fgColor rgb="FFFFFF00"/>
        <bgColor rgb="FFFFFF00"/>
      </patternFill>
    </fill>
    <fill>
      <patternFill patternType="solid">
        <fgColor rgb="FFE8EBF0"/>
        <bgColor rgb="FFFFFFFF"/>
      </patternFill>
    </fill>
  </fills>
  <borders count="2">
    <border diagonalUp="false" diagonalDown="false">
      <left/>
      <right/>
      <top/>
      <bottom/>
      <diagonal/>
    </border>
    <border diagonalUp="false" diagonalDown="false">
      <left/>
      <right/>
      <top/>
      <bottom style="thin">
        <color rgb="FFC8CD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3B52"/>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DD6"/>
      <rgbColor rgb="FF808080"/>
      <rgbColor rgb="FF9999FF"/>
      <rgbColor rgb="FF993366"/>
      <rgbColor rgb="FFFFFFCC"/>
      <rgbColor rgb="FFE8EB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B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3.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3"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40"/>
    <col collapsed="false" customWidth="true" hidden="false" outlineLevel="0" max="5" min="4" style="0" width="7"/>
    <col collapsed="false" customWidth="true" hidden="false" outlineLevel="0" max="6" min="6" style="0" width="9"/>
    <col collapsed="false" customWidth="true" hidden="false" outlineLevel="0" max="8" min="7" style="0" width="18"/>
    <col collapsed="false" customWidth="true" hidden="false" outlineLevel="0" max="9" min="9" style="0" width="10"/>
    <col collapsed="false" customWidth="true" hidden="false" outlineLevel="0" max="11" min="10" style="0" width="11"/>
    <col collapsed="false" customWidth="true" hidden="false" outlineLevel="0" max="12" min="12" style="0" width="30"/>
    <col collapsed="false" customWidth="true" hidden="false" outlineLevel="0" max="13" min="13" style="0" width="13"/>
    <col collapsed="false" customWidth="true" hidden="false" outlineLevel="0" max="14" min="14" style="0" width="26"/>
    <col collapsed="false" customWidth="true" hidden="false" outlineLevel="0" max="15" min="15" style="0" width="14"/>
  </cols>
  <sheetData>
    <row r="1" customFormat="false" ht="30" hidden="false" customHeight="true" outlineLevel="0" collapsed="false">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row>
    <row r="2" customFormat="false" ht="23.85" hidden="false" customHeight="false" outlineLevel="0" collapsed="false">
      <c r="A2" s="5" t="s">
        <v>33</v>
      </c>
      <c r="B2" s="5" t="s">
        <v>34</v>
      </c>
      <c r="C2" s="6" t="s">
        <v>35</v>
      </c>
      <c r="D2" s="5" t="n">
        <v>5</v>
      </c>
      <c r="E2" s="5" t="n">
        <v>5</v>
      </c>
      <c r="F2" s="7" t="n">
        <v>5</v>
      </c>
      <c r="G2" s="5" t="s">
        <v>36</v>
      </c>
      <c r="H2" s="5" t="s">
        <v>37</v>
      </c>
      <c r="I2" s="5" t="s">
        <v>38</v>
      </c>
      <c r="J2" s="5" t="s">
        <v>39</v>
      </c>
      <c r="K2" s="5" t="s">
        <v>40</v>
      </c>
      <c r="L2" s="6" t="s">
        <v>41</v>
      </c>
      <c r="M2" s="8"/>
      <c r="N2" s="9"/>
      <c r="O2" s="10" t="str">
        <f aca="false">IF(M2="","",M2*F2)</f>
        <v/>
      </c>
    </row>
    <row r="3" customFormat="false" ht="23.85" hidden="false" customHeight="false" outlineLevel="0" collapsed="false">
      <c r="A3" s="5" t="s">
        <v>42</v>
      </c>
      <c r="B3" s="5" t="s">
        <v>43</v>
      </c>
      <c r="C3" s="6" t="s">
        <v>44</v>
      </c>
      <c r="D3" s="5" t="n">
        <v>5</v>
      </c>
      <c r="E3" s="5" t="n">
        <v>5</v>
      </c>
      <c r="F3" s="7" t="n">
        <v>5</v>
      </c>
      <c r="G3" s="5" t="s">
        <v>45</v>
      </c>
      <c r="H3" s="5" t="s">
        <v>46</v>
      </c>
      <c r="I3" s="5" t="s">
        <v>38</v>
      </c>
      <c r="J3" s="5" t="s">
        <v>47</v>
      </c>
      <c r="K3" s="5" t="s">
        <v>48</v>
      </c>
      <c r="L3" s="6" t="s">
        <v>49</v>
      </c>
      <c r="M3" s="8"/>
      <c r="N3" s="9"/>
      <c r="O3" s="10" t="str">
        <f aca="false">IF(M3="","",M3*F3)</f>
        <v/>
      </c>
    </row>
    <row r="4" customFormat="false" ht="23.85" hidden="false" customHeight="false" outlineLevel="0" collapsed="false">
      <c r="A4" s="5" t="s">
        <v>50</v>
      </c>
      <c r="B4" s="5" t="s">
        <v>34</v>
      </c>
      <c r="C4" s="6" t="s">
        <v>51</v>
      </c>
      <c r="D4" s="5" t="n">
        <v>4</v>
      </c>
      <c r="E4" s="5" t="n">
        <v>3</v>
      </c>
      <c r="F4" s="7" t="n">
        <v>4</v>
      </c>
      <c r="G4" s="5" t="s">
        <v>52</v>
      </c>
      <c r="H4" s="5" t="s">
        <v>46</v>
      </c>
      <c r="I4" s="5" t="s">
        <v>38</v>
      </c>
      <c r="J4" s="5" t="s">
        <v>53</v>
      </c>
      <c r="K4" s="5" t="s">
        <v>54</v>
      </c>
      <c r="L4" s="6" t="s">
        <v>55</v>
      </c>
      <c r="M4" s="8"/>
      <c r="N4" s="9"/>
      <c r="O4" s="10" t="str">
        <f aca="false">IF(M4="","",M4*F4)</f>
        <v/>
      </c>
    </row>
    <row r="5" customFormat="false" ht="15" hidden="false" customHeight="false" outlineLevel="0" collapsed="false">
      <c r="A5" s="5" t="s">
        <v>56</v>
      </c>
      <c r="B5" s="5" t="s">
        <v>34</v>
      </c>
      <c r="C5" s="6" t="s">
        <v>57</v>
      </c>
      <c r="D5" s="5" t="n">
        <v>3</v>
      </c>
      <c r="E5" s="5" t="n">
        <v>3</v>
      </c>
      <c r="F5" s="7" t="n">
        <v>3</v>
      </c>
      <c r="G5" s="5" t="s">
        <v>58</v>
      </c>
      <c r="H5" s="5" t="s">
        <v>37</v>
      </c>
      <c r="I5" s="5" t="s">
        <v>38</v>
      </c>
      <c r="J5" s="5" t="s">
        <v>59</v>
      </c>
      <c r="K5" s="5" t="s">
        <v>40</v>
      </c>
      <c r="L5" s="6" t="s">
        <v>60</v>
      </c>
      <c r="M5" s="8"/>
      <c r="N5" s="9"/>
      <c r="O5" s="10" t="str">
        <f aca="false">IF(M5="","",M5*F5)</f>
        <v/>
      </c>
    </row>
    <row r="6" customFormat="false" ht="15" hidden="false" customHeight="false" outlineLevel="0" collapsed="false">
      <c r="A6" s="5" t="s">
        <v>61</v>
      </c>
      <c r="B6" s="5" t="s">
        <v>34</v>
      </c>
      <c r="C6" s="6" t="s">
        <v>62</v>
      </c>
      <c r="D6" s="5" t="n">
        <v>3</v>
      </c>
      <c r="E6" s="5" t="n">
        <v>2</v>
      </c>
      <c r="F6" s="7" t="n">
        <v>3</v>
      </c>
      <c r="G6" s="5" t="s">
        <v>63</v>
      </c>
      <c r="H6" s="5" t="s">
        <v>46</v>
      </c>
      <c r="I6" s="5" t="s">
        <v>38</v>
      </c>
      <c r="J6" s="5" t="s">
        <v>64</v>
      </c>
      <c r="K6" s="5" t="s">
        <v>65</v>
      </c>
      <c r="L6" s="6" t="s">
        <v>66</v>
      </c>
      <c r="M6" s="8"/>
      <c r="N6" s="9"/>
      <c r="O6" s="10" t="str">
        <f aca="false">IF(M6="","",M6*F6)</f>
        <v/>
      </c>
    </row>
    <row r="7" customFormat="false" ht="15" hidden="false" customHeight="false" outlineLevel="0" collapsed="false">
      <c r="A7" s="5" t="s">
        <v>67</v>
      </c>
      <c r="B7" s="5" t="s">
        <v>34</v>
      </c>
      <c r="C7" s="6" t="s">
        <v>68</v>
      </c>
      <c r="D7" s="5" t="n">
        <v>3</v>
      </c>
      <c r="E7" s="5" t="n">
        <v>3</v>
      </c>
      <c r="F7" s="7" t="n">
        <v>3</v>
      </c>
      <c r="G7" s="5" t="s">
        <v>69</v>
      </c>
      <c r="H7" s="5" t="s">
        <v>70</v>
      </c>
      <c r="I7" s="5" t="s">
        <v>71</v>
      </c>
      <c r="J7" s="5" t="s">
        <v>72</v>
      </c>
      <c r="K7" s="5" t="s">
        <v>73</v>
      </c>
      <c r="L7" s="6" t="s">
        <v>74</v>
      </c>
      <c r="M7" s="8"/>
      <c r="N7" s="9"/>
      <c r="O7" s="10" t="str">
        <f aca="false">IF(M7="","",M7*F7)</f>
        <v/>
      </c>
    </row>
    <row r="8" customFormat="false" ht="15" hidden="false" customHeight="false" outlineLevel="0" collapsed="false">
      <c r="A8" s="5" t="s">
        <v>75</v>
      </c>
      <c r="B8" s="5" t="s">
        <v>34</v>
      </c>
      <c r="C8" s="6" t="s">
        <v>76</v>
      </c>
      <c r="D8" s="5" t="n">
        <v>3</v>
      </c>
      <c r="E8" s="5" t="n">
        <v>2</v>
      </c>
      <c r="F8" s="7" t="n">
        <v>3</v>
      </c>
      <c r="G8" s="5" t="s">
        <v>58</v>
      </c>
      <c r="H8" s="5" t="s">
        <v>46</v>
      </c>
      <c r="I8" s="5" t="s">
        <v>38</v>
      </c>
      <c r="J8" s="5" t="s">
        <v>77</v>
      </c>
      <c r="K8" s="5" t="s">
        <v>78</v>
      </c>
      <c r="L8" s="6" t="s">
        <v>79</v>
      </c>
      <c r="M8" s="8"/>
      <c r="N8" s="9"/>
      <c r="O8" s="10" t="str">
        <f aca="false">IF(M8="","",M8*F8)</f>
        <v/>
      </c>
    </row>
    <row r="9" customFormat="false" ht="15" hidden="false" customHeight="false" outlineLevel="0" collapsed="false">
      <c r="A9" s="5" t="s">
        <v>80</v>
      </c>
      <c r="B9" s="5" t="s">
        <v>34</v>
      </c>
      <c r="C9" s="6" t="s">
        <v>68</v>
      </c>
      <c r="D9" s="5" t="n">
        <v>3</v>
      </c>
      <c r="E9" s="5" t="n">
        <v>3</v>
      </c>
      <c r="F9" s="7" t="n">
        <v>3</v>
      </c>
      <c r="G9" s="5" t="s">
        <v>69</v>
      </c>
      <c r="H9" s="5" t="s">
        <v>81</v>
      </c>
      <c r="I9" s="5" t="s">
        <v>71</v>
      </c>
      <c r="J9" s="5" t="s">
        <v>82</v>
      </c>
      <c r="K9" s="5" t="s">
        <v>83</v>
      </c>
      <c r="L9" s="6" t="s">
        <v>84</v>
      </c>
      <c r="M9" s="8"/>
      <c r="N9" s="9"/>
      <c r="O9" s="10" t="str">
        <f aca="false">IF(M9="","",M9*F9)</f>
        <v/>
      </c>
    </row>
    <row r="10" customFormat="false" ht="15" hidden="false" customHeight="false" outlineLevel="0" collapsed="false">
      <c r="A10" s="5" t="s">
        <v>85</v>
      </c>
      <c r="B10" s="5" t="s">
        <v>34</v>
      </c>
      <c r="C10" s="6" t="s">
        <v>86</v>
      </c>
      <c r="D10" s="5" t="n">
        <v>3</v>
      </c>
      <c r="E10" s="5" t="n">
        <v>3</v>
      </c>
      <c r="F10" s="7" t="n">
        <v>3</v>
      </c>
      <c r="G10" s="5" t="s">
        <v>58</v>
      </c>
      <c r="H10" s="5" t="s">
        <v>46</v>
      </c>
      <c r="I10" s="5" t="s">
        <v>38</v>
      </c>
      <c r="J10" s="5" t="s">
        <v>87</v>
      </c>
      <c r="K10" s="5" t="s">
        <v>88</v>
      </c>
      <c r="L10" s="6" t="s">
        <v>89</v>
      </c>
      <c r="M10" s="8"/>
      <c r="N10" s="9"/>
      <c r="O10" s="10" t="str">
        <f aca="false">IF(M10="","",M10*F10)</f>
        <v/>
      </c>
    </row>
    <row r="11" customFormat="false" ht="15" hidden="false" customHeight="false" outlineLevel="0" collapsed="false">
      <c r="A11" s="5" t="s">
        <v>90</v>
      </c>
      <c r="B11" s="5" t="s">
        <v>34</v>
      </c>
      <c r="C11" s="6" t="s">
        <v>91</v>
      </c>
      <c r="D11" s="5" t="n">
        <v>3</v>
      </c>
      <c r="E11" s="5" t="n">
        <v>1</v>
      </c>
      <c r="F11" s="7" t="n">
        <v>3</v>
      </c>
      <c r="G11" s="5" t="s">
        <v>92</v>
      </c>
      <c r="H11" s="5" t="s">
        <v>46</v>
      </c>
      <c r="I11" s="5" t="s">
        <v>38</v>
      </c>
      <c r="J11" s="5" t="s">
        <v>93</v>
      </c>
      <c r="K11" s="5" t="s">
        <v>94</v>
      </c>
      <c r="L11" s="6" t="s">
        <v>95</v>
      </c>
      <c r="M11" s="8"/>
      <c r="N11" s="9"/>
      <c r="O11" s="10" t="str">
        <f aca="false">IF(M11="","",M11*F11)</f>
        <v/>
      </c>
    </row>
    <row r="12" customFormat="false" ht="15" hidden="false" customHeight="false" outlineLevel="0" collapsed="false">
      <c r="A12" s="5" t="s">
        <v>96</v>
      </c>
      <c r="B12" s="5" t="s">
        <v>34</v>
      </c>
      <c r="C12" s="6" t="s">
        <v>97</v>
      </c>
      <c r="D12" s="5" t="n">
        <v>3</v>
      </c>
      <c r="E12" s="5" t="n">
        <v>3</v>
      </c>
      <c r="F12" s="7" t="n">
        <v>3</v>
      </c>
      <c r="G12" s="5" t="s">
        <v>63</v>
      </c>
      <c r="H12" s="5" t="s">
        <v>46</v>
      </c>
      <c r="I12" s="5" t="s">
        <v>38</v>
      </c>
      <c r="J12" s="5" t="s">
        <v>98</v>
      </c>
      <c r="K12" s="5" t="s">
        <v>88</v>
      </c>
      <c r="L12" s="6" t="s">
        <v>99</v>
      </c>
      <c r="M12" s="8"/>
      <c r="N12" s="9"/>
      <c r="O12" s="10" t="str">
        <f aca="false">IF(M12="","",M12*F12)</f>
        <v/>
      </c>
    </row>
    <row r="13" customFormat="false" ht="15" hidden="false" customHeight="false" outlineLevel="0" collapsed="false">
      <c r="A13" s="5" t="s">
        <v>100</v>
      </c>
      <c r="B13" s="5" t="s">
        <v>43</v>
      </c>
      <c r="C13" s="6" t="s">
        <v>100</v>
      </c>
      <c r="D13" s="5" t="n">
        <v>3</v>
      </c>
      <c r="E13" s="5" t="n">
        <v>2</v>
      </c>
      <c r="F13" s="7" t="n">
        <v>3</v>
      </c>
      <c r="G13" s="5" t="s">
        <v>58</v>
      </c>
      <c r="H13" s="5" t="s">
        <v>46</v>
      </c>
      <c r="I13" s="5" t="s">
        <v>38</v>
      </c>
      <c r="J13" s="5" t="s">
        <v>54</v>
      </c>
      <c r="K13" s="5" t="s">
        <v>101</v>
      </c>
      <c r="L13" s="6" t="s">
        <v>102</v>
      </c>
      <c r="M13" s="8"/>
      <c r="N13" s="9"/>
      <c r="O13" s="10" t="str">
        <f aca="false">IF(M13="","",M13*F13)</f>
        <v/>
      </c>
    </row>
    <row r="14" customFormat="false" ht="15" hidden="false" customHeight="false" outlineLevel="0" collapsed="false">
      <c r="A14" s="5" t="s">
        <v>103</v>
      </c>
      <c r="B14" s="5" t="s">
        <v>43</v>
      </c>
      <c r="C14" s="6" t="s">
        <v>103</v>
      </c>
      <c r="D14" s="5" t="n">
        <v>3</v>
      </c>
      <c r="E14" s="5" t="n">
        <v>1</v>
      </c>
      <c r="F14" s="7" t="n">
        <v>3</v>
      </c>
      <c r="G14" s="5" t="s">
        <v>92</v>
      </c>
      <c r="H14" s="5" t="s">
        <v>46</v>
      </c>
      <c r="I14" s="5" t="s">
        <v>38</v>
      </c>
      <c r="J14" s="5" t="s">
        <v>104</v>
      </c>
      <c r="K14" s="5" t="s">
        <v>104</v>
      </c>
      <c r="L14" s="6" t="s">
        <v>105</v>
      </c>
      <c r="M14" s="8"/>
      <c r="N14" s="9"/>
      <c r="O14" s="10" t="str">
        <f aca="false">IF(M14="","",M14*F14)</f>
        <v/>
      </c>
    </row>
    <row r="15" customFormat="false" ht="15" hidden="false" customHeight="false" outlineLevel="0" collapsed="false">
      <c r="A15" s="5" t="s">
        <v>106</v>
      </c>
      <c r="B15" s="5" t="s">
        <v>34</v>
      </c>
      <c r="C15" s="6" t="s">
        <v>107</v>
      </c>
      <c r="D15" s="5" t="n">
        <v>2</v>
      </c>
      <c r="E15" s="5" t="n">
        <v>1</v>
      </c>
      <c r="F15" s="7" t="n">
        <v>2</v>
      </c>
      <c r="G15" s="5" t="s">
        <v>108</v>
      </c>
      <c r="H15" s="5" t="s">
        <v>109</v>
      </c>
      <c r="I15" s="5" t="s">
        <v>38</v>
      </c>
      <c r="J15" s="5" t="s">
        <v>110</v>
      </c>
      <c r="K15" s="5" t="s">
        <v>110</v>
      </c>
      <c r="L15" s="6" t="s">
        <v>111</v>
      </c>
      <c r="M15" s="8"/>
      <c r="N15" s="9"/>
      <c r="O15" s="10" t="str">
        <f aca="false">IF(M15="","",M15*F15)</f>
        <v/>
      </c>
    </row>
    <row r="16" customFormat="false" ht="15" hidden="false" customHeight="false" outlineLevel="0" collapsed="false">
      <c r="A16" s="5" t="s">
        <v>112</v>
      </c>
      <c r="B16" s="5" t="s">
        <v>34</v>
      </c>
      <c r="C16" s="6" t="s">
        <v>113</v>
      </c>
      <c r="D16" s="5" t="n">
        <v>2</v>
      </c>
      <c r="E16" s="5" t="n">
        <v>2</v>
      </c>
      <c r="F16" s="7" t="n">
        <v>2</v>
      </c>
      <c r="G16" s="5" t="s">
        <v>114</v>
      </c>
      <c r="H16" s="5" t="s">
        <v>46</v>
      </c>
      <c r="I16" s="5" t="s">
        <v>38</v>
      </c>
      <c r="J16" s="5" t="s">
        <v>115</v>
      </c>
      <c r="K16" s="5" t="s">
        <v>88</v>
      </c>
      <c r="L16" s="6" t="s">
        <v>116</v>
      </c>
      <c r="M16" s="8"/>
      <c r="N16" s="9"/>
      <c r="O16" s="10" t="str">
        <f aca="false">IF(M16="","",M16*F16)</f>
        <v/>
      </c>
    </row>
    <row r="17" customFormat="false" ht="15" hidden="false" customHeight="false" outlineLevel="0" collapsed="false">
      <c r="A17" s="5" t="s">
        <v>117</v>
      </c>
      <c r="B17" s="5" t="s">
        <v>34</v>
      </c>
      <c r="C17" s="6" t="s">
        <v>118</v>
      </c>
      <c r="D17" s="5" t="n">
        <v>2</v>
      </c>
      <c r="E17" s="5" t="n">
        <v>2</v>
      </c>
      <c r="F17" s="7" t="n">
        <v>2</v>
      </c>
      <c r="G17" s="5" t="s">
        <v>119</v>
      </c>
      <c r="H17" s="5" t="s">
        <v>81</v>
      </c>
      <c r="I17" s="5" t="s">
        <v>71</v>
      </c>
      <c r="J17" s="5" t="s">
        <v>120</v>
      </c>
      <c r="K17" s="5" t="s">
        <v>48</v>
      </c>
      <c r="L17" s="6" t="s">
        <v>121</v>
      </c>
      <c r="M17" s="8"/>
      <c r="N17" s="9"/>
      <c r="O17" s="10" t="str">
        <f aca="false">IF(M17="","",M17*F17)</f>
        <v/>
      </c>
    </row>
    <row r="18" customFormat="false" ht="15" hidden="false" customHeight="false" outlineLevel="0" collapsed="false">
      <c r="A18" s="5" t="s">
        <v>122</v>
      </c>
      <c r="B18" s="5" t="s">
        <v>34</v>
      </c>
      <c r="C18" s="6" t="s">
        <v>123</v>
      </c>
      <c r="D18" s="5" t="n">
        <v>2</v>
      </c>
      <c r="E18" s="5" t="n">
        <v>2</v>
      </c>
      <c r="F18" s="7" t="n">
        <v>2</v>
      </c>
      <c r="G18" s="5" t="s">
        <v>114</v>
      </c>
      <c r="H18" s="5" t="s">
        <v>46</v>
      </c>
      <c r="I18" s="5" t="s">
        <v>38</v>
      </c>
      <c r="J18" s="5" t="s">
        <v>53</v>
      </c>
      <c r="K18" s="5" t="s">
        <v>124</v>
      </c>
      <c r="L18" s="6" t="s">
        <v>125</v>
      </c>
      <c r="M18" s="8"/>
      <c r="N18" s="9"/>
      <c r="O18" s="10" t="str">
        <f aca="false">IF(M18="","",M18*F18)</f>
        <v/>
      </c>
    </row>
    <row r="19" customFormat="false" ht="15" hidden="false" customHeight="false" outlineLevel="0" collapsed="false">
      <c r="A19" s="5" t="s">
        <v>126</v>
      </c>
      <c r="B19" s="5" t="s">
        <v>34</v>
      </c>
      <c r="C19" s="6" t="s">
        <v>127</v>
      </c>
      <c r="D19" s="5" t="n">
        <v>2</v>
      </c>
      <c r="E19" s="5" t="n">
        <v>2</v>
      </c>
      <c r="F19" s="7" t="n">
        <v>2</v>
      </c>
      <c r="G19" s="5" t="s">
        <v>114</v>
      </c>
      <c r="H19" s="5" t="s">
        <v>46</v>
      </c>
      <c r="I19" s="5" t="s">
        <v>38</v>
      </c>
      <c r="J19" s="5" t="s">
        <v>128</v>
      </c>
      <c r="K19" s="5" t="s">
        <v>129</v>
      </c>
      <c r="L19" s="6" t="s">
        <v>130</v>
      </c>
      <c r="M19" s="8"/>
      <c r="N19" s="9"/>
      <c r="O19" s="10" t="str">
        <f aca="false">IF(M19="","",M19*F19)</f>
        <v/>
      </c>
    </row>
    <row r="20" customFormat="false" ht="15" hidden="false" customHeight="false" outlineLevel="0" collapsed="false">
      <c r="A20" s="5" t="s">
        <v>131</v>
      </c>
      <c r="B20" s="5" t="s">
        <v>34</v>
      </c>
      <c r="C20" s="6" t="s">
        <v>132</v>
      </c>
      <c r="D20" s="5" t="n">
        <v>2</v>
      </c>
      <c r="E20" s="5" t="n">
        <v>2</v>
      </c>
      <c r="F20" s="7" t="n">
        <v>2</v>
      </c>
      <c r="G20" s="5" t="s">
        <v>119</v>
      </c>
      <c r="H20" s="5" t="s">
        <v>133</v>
      </c>
      <c r="I20" s="5" t="s">
        <v>38</v>
      </c>
      <c r="J20" s="5" t="s">
        <v>134</v>
      </c>
      <c r="K20" s="5" t="s">
        <v>135</v>
      </c>
      <c r="L20" s="6" t="s">
        <v>136</v>
      </c>
      <c r="M20" s="8"/>
      <c r="N20" s="9"/>
      <c r="O20" s="10" t="str">
        <f aca="false">IF(M20="","",M20*F20)</f>
        <v/>
      </c>
    </row>
    <row r="21" customFormat="false" ht="15" hidden="false" customHeight="false" outlineLevel="0" collapsed="false">
      <c r="A21" s="5" t="s">
        <v>137</v>
      </c>
      <c r="B21" s="5" t="s">
        <v>34</v>
      </c>
      <c r="C21" s="6" t="s">
        <v>138</v>
      </c>
      <c r="D21" s="5" t="n">
        <v>2</v>
      </c>
      <c r="E21" s="5" t="n">
        <v>2</v>
      </c>
      <c r="F21" s="7" t="n">
        <v>2</v>
      </c>
      <c r="G21" s="5" t="s">
        <v>108</v>
      </c>
      <c r="H21" s="5" t="s">
        <v>46</v>
      </c>
      <c r="I21" s="5" t="s">
        <v>38</v>
      </c>
      <c r="J21" s="5" t="s">
        <v>128</v>
      </c>
      <c r="K21" s="5" t="s">
        <v>73</v>
      </c>
      <c r="L21" s="6" t="s">
        <v>139</v>
      </c>
      <c r="M21" s="8"/>
      <c r="N21" s="9"/>
      <c r="O21" s="10" t="str">
        <f aca="false">IF(M21="","",M21*F21)</f>
        <v/>
      </c>
    </row>
    <row r="22" customFormat="false" ht="15" hidden="false" customHeight="false" outlineLevel="0" collapsed="false">
      <c r="A22" s="5" t="s">
        <v>140</v>
      </c>
      <c r="B22" s="5" t="s">
        <v>34</v>
      </c>
      <c r="C22" s="6" t="s">
        <v>141</v>
      </c>
      <c r="D22" s="5" t="n">
        <v>2</v>
      </c>
      <c r="E22" s="5" t="n">
        <v>2</v>
      </c>
      <c r="F22" s="7" t="n">
        <v>2</v>
      </c>
      <c r="G22" s="5" t="s">
        <v>142</v>
      </c>
      <c r="H22" s="5" t="s">
        <v>143</v>
      </c>
      <c r="I22" s="5" t="s">
        <v>71</v>
      </c>
      <c r="J22" s="5" t="s">
        <v>144</v>
      </c>
      <c r="K22" s="5" t="s">
        <v>65</v>
      </c>
      <c r="L22" s="6" t="s">
        <v>145</v>
      </c>
      <c r="M22" s="8"/>
      <c r="N22" s="9"/>
      <c r="O22" s="10" t="str">
        <f aca="false">IF(M22="","",M22*F22)</f>
        <v/>
      </c>
    </row>
    <row r="23" customFormat="false" ht="15" hidden="false" customHeight="false" outlineLevel="0" collapsed="false">
      <c r="A23" s="5" t="s">
        <v>146</v>
      </c>
      <c r="B23" s="5" t="s">
        <v>34</v>
      </c>
      <c r="C23" s="6" t="s">
        <v>147</v>
      </c>
      <c r="D23" s="5" t="n">
        <v>2</v>
      </c>
      <c r="E23" s="5" t="n">
        <v>2</v>
      </c>
      <c r="F23" s="7" t="n">
        <v>2</v>
      </c>
      <c r="G23" s="5" t="s">
        <v>142</v>
      </c>
      <c r="H23" s="5" t="s">
        <v>143</v>
      </c>
      <c r="I23" s="5" t="s">
        <v>71</v>
      </c>
      <c r="J23" s="5" t="s">
        <v>148</v>
      </c>
      <c r="K23" s="5" t="s">
        <v>149</v>
      </c>
      <c r="L23" s="6" t="s">
        <v>150</v>
      </c>
      <c r="M23" s="8"/>
      <c r="N23" s="9"/>
      <c r="O23" s="10" t="str">
        <f aca="false">IF(M23="","",M23*F23)</f>
        <v/>
      </c>
    </row>
    <row r="24" customFormat="false" ht="15" hidden="false" customHeight="false" outlineLevel="0" collapsed="false">
      <c r="A24" s="5" t="s">
        <v>151</v>
      </c>
      <c r="B24" s="5" t="s">
        <v>152</v>
      </c>
      <c r="C24" s="6" t="s">
        <v>153</v>
      </c>
      <c r="D24" s="5" t="n">
        <v>2</v>
      </c>
      <c r="E24" s="5" t="n">
        <v>1</v>
      </c>
      <c r="F24" s="7" t="n">
        <v>2</v>
      </c>
      <c r="G24" s="5" t="s">
        <v>142</v>
      </c>
      <c r="H24" s="5" t="s">
        <v>109</v>
      </c>
      <c r="I24" s="5" t="s">
        <v>38</v>
      </c>
      <c r="J24" s="5" t="s">
        <v>149</v>
      </c>
      <c r="K24" s="5" t="s">
        <v>149</v>
      </c>
      <c r="L24" s="6" t="s">
        <v>154</v>
      </c>
      <c r="M24" s="8"/>
      <c r="N24" s="9"/>
      <c r="O24" s="10" t="str">
        <f aca="false">IF(M24="","",M24*F24)</f>
        <v/>
      </c>
    </row>
    <row r="25" customFormat="false" ht="15" hidden="false" customHeight="false" outlineLevel="0" collapsed="false">
      <c r="A25" s="5" t="s">
        <v>155</v>
      </c>
      <c r="B25" s="5" t="s">
        <v>34</v>
      </c>
      <c r="C25" s="6" t="s">
        <v>156</v>
      </c>
      <c r="D25" s="5" t="n">
        <v>1</v>
      </c>
      <c r="E25" s="5" t="n">
        <v>1</v>
      </c>
      <c r="F25" s="7" t="n">
        <v>1</v>
      </c>
      <c r="G25" s="5" t="s">
        <v>157</v>
      </c>
      <c r="H25" s="5" t="s">
        <v>133</v>
      </c>
      <c r="I25" s="5" t="s">
        <v>38</v>
      </c>
      <c r="J25" s="5" t="s">
        <v>158</v>
      </c>
      <c r="K25" s="5" t="s">
        <v>158</v>
      </c>
      <c r="L25" s="6" t="s">
        <v>159</v>
      </c>
      <c r="M25" s="8"/>
      <c r="N25" s="9"/>
      <c r="O25" s="10" t="str">
        <f aca="false">IF(M25="","",M25*F25)</f>
        <v/>
      </c>
    </row>
    <row r="26" customFormat="false" ht="15" hidden="false" customHeight="false" outlineLevel="0" collapsed="false">
      <c r="A26" s="5" t="s">
        <v>160</v>
      </c>
      <c r="B26" s="5" t="s">
        <v>34</v>
      </c>
      <c r="C26" s="6" t="s">
        <v>161</v>
      </c>
      <c r="D26" s="5" t="n">
        <v>1</v>
      </c>
      <c r="E26" s="5" t="n">
        <v>1</v>
      </c>
      <c r="F26" s="7" t="n">
        <v>1</v>
      </c>
      <c r="G26" s="5" t="s">
        <v>162</v>
      </c>
      <c r="H26" s="5" t="s">
        <v>81</v>
      </c>
      <c r="I26" s="5" t="s">
        <v>38</v>
      </c>
      <c r="J26" s="5" t="s">
        <v>163</v>
      </c>
      <c r="K26" s="5" t="s">
        <v>163</v>
      </c>
      <c r="L26" s="6" t="s">
        <v>164</v>
      </c>
      <c r="M26" s="8"/>
      <c r="N26" s="9"/>
      <c r="O26" s="10" t="str">
        <f aca="false">IF(M26="","",M26*F26)</f>
        <v/>
      </c>
    </row>
    <row r="27" customFormat="false" ht="15" hidden="false" customHeight="false" outlineLevel="0" collapsed="false">
      <c r="A27" s="5" t="s">
        <v>165</v>
      </c>
      <c r="B27" s="5" t="s">
        <v>34</v>
      </c>
      <c r="C27" s="6" t="s">
        <v>166</v>
      </c>
      <c r="D27" s="5" t="n">
        <v>1</v>
      </c>
      <c r="E27" s="5" t="n">
        <v>1</v>
      </c>
      <c r="F27" s="7" t="n">
        <v>1</v>
      </c>
      <c r="G27" s="5" t="s">
        <v>157</v>
      </c>
      <c r="H27" s="5" t="s">
        <v>46</v>
      </c>
      <c r="I27" s="5" t="s">
        <v>38</v>
      </c>
      <c r="J27" s="5" t="s">
        <v>167</v>
      </c>
      <c r="K27" s="5" t="s">
        <v>167</v>
      </c>
      <c r="L27" s="6" t="s">
        <v>168</v>
      </c>
      <c r="M27" s="8"/>
      <c r="N27" s="9"/>
      <c r="O27" s="10" t="str">
        <f aca="false">IF(M27="","",M27*F27)</f>
        <v/>
      </c>
    </row>
    <row r="28" customFormat="false" ht="15" hidden="false" customHeight="false" outlineLevel="0" collapsed="false">
      <c r="A28" s="5" t="s">
        <v>169</v>
      </c>
      <c r="B28" s="5" t="s">
        <v>34</v>
      </c>
      <c r="C28" s="6" t="s">
        <v>170</v>
      </c>
      <c r="D28" s="5" t="n">
        <v>1</v>
      </c>
      <c r="E28" s="5" t="n">
        <v>1</v>
      </c>
      <c r="F28" s="7" t="n">
        <v>1</v>
      </c>
      <c r="G28" s="5" t="s">
        <v>162</v>
      </c>
      <c r="H28" s="5" t="s">
        <v>171</v>
      </c>
      <c r="I28" s="5" t="s">
        <v>38</v>
      </c>
      <c r="J28" s="5" t="s">
        <v>39</v>
      </c>
      <c r="K28" s="5" t="s">
        <v>39</v>
      </c>
      <c r="L28" s="6" t="s">
        <v>172</v>
      </c>
      <c r="M28" s="8"/>
      <c r="N28" s="9"/>
      <c r="O28" s="10" t="str">
        <f aca="false">IF(M28="","",M28*F28)</f>
        <v/>
      </c>
    </row>
    <row r="29" customFormat="false" ht="15" hidden="false" customHeight="false" outlineLevel="0" collapsed="false">
      <c r="A29" s="5" t="s">
        <v>173</v>
      </c>
      <c r="B29" s="5" t="s">
        <v>34</v>
      </c>
      <c r="C29" s="6" t="s">
        <v>174</v>
      </c>
      <c r="D29" s="5" t="n">
        <v>1</v>
      </c>
      <c r="E29" s="5" t="n">
        <v>1</v>
      </c>
      <c r="F29" s="7" t="n">
        <v>1</v>
      </c>
      <c r="G29" s="5" t="s">
        <v>157</v>
      </c>
      <c r="H29" s="5" t="s">
        <v>46</v>
      </c>
      <c r="I29" s="5" t="s">
        <v>38</v>
      </c>
      <c r="J29" s="5" t="s">
        <v>110</v>
      </c>
      <c r="K29" s="5" t="s">
        <v>110</v>
      </c>
      <c r="L29" s="6" t="s">
        <v>175</v>
      </c>
      <c r="M29" s="8"/>
      <c r="N29" s="9"/>
      <c r="O29" s="10" t="str">
        <f aca="false">IF(M29="","",M29*F29)</f>
        <v/>
      </c>
    </row>
    <row r="30" customFormat="false" ht="15" hidden="false" customHeight="false" outlineLevel="0" collapsed="false">
      <c r="A30" s="5" t="s">
        <v>176</v>
      </c>
      <c r="B30" s="5" t="s">
        <v>34</v>
      </c>
      <c r="C30" s="6" t="s">
        <v>177</v>
      </c>
      <c r="D30" s="5" t="n">
        <v>1</v>
      </c>
      <c r="E30" s="5" t="n">
        <v>1</v>
      </c>
      <c r="F30" s="7" t="n">
        <v>1</v>
      </c>
      <c r="G30" s="5" t="s">
        <v>157</v>
      </c>
      <c r="H30" s="5" t="s">
        <v>46</v>
      </c>
      <c r="I30" s="5" t="s">
        <v>38</v>
      </c>
      <c r="J30" s="5" t="s">
        <v>120</v>
      </c>
      <c r="K30" s="5" t="s">
        <v>120</v>
      </c>
      <c r="L30" s="6" t="s">
        <v>178</v>
      </c>
      <c r="M30" s="8"/>
      <c r="N30" s="9"/>
      <c r="O30" s="10" t="str">
        <f aca="false">IF(M30="","",M30*F30)</f>
        <v/>
      </c>
    </row>
    <row r="31" customFormat="false" ht="15" hidden="false" customHeight="false" outlineLevel="0" collapsed="false">
      <c r="A31" s="5" t="s">
        <v>179</v>
      </c>
      <c r="B31" s="5" t="s">
        <v>34</v>
      </c>
      <c r="C31" s="6" t="s">
        <v>180</v>
      </c>
      <c r="D31" s="5" t="n">
        <v>1</v>
      </c>
      <c r="E31" s="5" t="n">
        <v>1</v>
      </c>
      <c r="F31" s="7" t="n">
        <v>1</v>
      </c>
      <c r="G31" s="5" t="s">
        <v>162</v>
      </c>
      <c r="H31" s="5" t="s">
        <v>46</v>
      </c>
      <c r="I31" s="5" t="s">
        <v>38</v>
      </c>
      <c r="J31" s="5" t="s">
        <v>181</v>
      </c>
      <c r="K31" s="5" t="s">
        <v>181</v>
      </c>
      <c r="L31" s="6" t="s">
        <v>182</v>
      </c>
      <c r="M31" s="8"/>
      <c r="N31" s="9"/>
      <c r="O31" s="10" t="str">
        <f aca="false">IF(M31="","",M31*F31)</f>
        <v/>
      </c>
    </row>
    <row r="32" customFormat="false" ht="15" hidden="false" customHeight="false" outlineLevel="0" collapsed="false">
      <c r="A32" s="5" t="s">
        <v>183</v>
      </c>
      <c r="B32" s="5" t="s">
        <v>34</v>
      </c>
      <c r="C32" s="6" t="s">
        <v>184</v>
      </c>
      <c r="D32" s="5" t="n">
        <v>1</v>
      </c>
      <c r="E32" s="5" t="n">
        <v>1</v>
      </c>
      <c r="F32" s="7" t="n">
        <v>1</v>
      </c>
      <c r="G32" s="5" t="s">
        <v>157</v>
      </c>
      <c r="H32" s="5" t="s">
        <v>46</v>
      </c>
      <c r="I32" s="5" t="s">
        <v>38</v>
      </c>
      <c r="J32" s="5" t="s">
        <v>128</v>
      </c>
      <c r="K32" s="5" t="s">
        <v>128</v>
      </c>
      <c r="L32" s="6" t="s">
        <v>185</v>
      </c>
      <c r="M32" s="8"/>
      <c r="N32" s="9"/>
      <c r="O32" s="10" t="str">
        <f aca="false">IF(M32="","",M32*F32)</f>
        <v/>
      </c>
    </row>
    <row r="33" customFormat="false" ht="15" hidden="false" customHeight="false" outlineLevel="0" collapsed="false">
      <c r="A33" s="5" t="s">
        <v>186</v>
      </c>
      <c r="B33" s="5" t="s">
        <v>34</v>
      </c>
      <c r="C33" s="6" t="s">
        <v>187</v>
      </c>
      <c r="D33" s="5" t="n">
        <v>1</v>
      </c>
      <c r="E33" s="5" t="n">
        <v>1</v>
      </c>
      <c r="F33" s="7" t="n">
        <v>1</v>
      </c>
      <c r="G33" s="5" t="s">
        <v>157</v>
      </c>
      <c r="H33" s="5" t="s">
        <v>46</v>
      </c>
      <c r="I33" s="5" t="s">
        <v>38</v>
      </c>
      <c r="J33" s="5" t="s">
        <v>188</v>
      </c>
      <c r="K33" s="5" t="s">
        <v>188</v>
      </c>
      <c r="L33" s="6" t="s">
        <v>189</v>
      </c>
      <c r="M33" s="8"/>
      <c r="N33" s="9"/>
      <c r="O33" s="10" t="str">
        <f aca="false">IF(M33="","",M33*F33)</f>
        <v/>
      </c>
    </row>
    <row r="34" customFormat="false" ht="15" hidden="false" customHeight="false" outlineLevel="0" collapsed="false">
      <c r="A34" s="5" t="s">
        <v>190</v>
      </c>
      <c r="B34" s="5" t="s">
        <v>34</v>
      </c>
      <c r="C34" s="6" t="s">
        <v>191</v>
      </c>
      <c r="D34" s="5" t="n">
        <v>1</v>
      </c>
      <c r="E34" s="5" t="n">
        <v>1</v>
      </c>
      <c r="F34" s="7" t="n">
        <v>1</v>
      </c>
      <c r="G34" s="5" t="s">
        <v>162</v>
      </c>
      <c r="H34" s="5" t="s">
        <v>143</v>
      </c>
      <c r="I34" s="5" t="s">
        <v>71</v>
      </c>
      <c r="J34" s="5" t="s">
        <v>192</v>
      </c>
      <c r="K34" s="5" t="s">
        <v>192</v>
      </c>
      <c r="L34" s="6" t="s">
        <v>193</v>
      </c>
      <c r="M34" s="8"/>
      <c r="N34" s="9"/>
      <c r="O34" s="10" t="str">
        <f aca="false">IF(M34="","",M34*F34)</f>
        <v/>
      </c>
    </row>
    <row r="35" customFormat="false" ht="15" hidden="false" customHeight="false" outlineLevel="0" collapsed="false">
      <c r="A35" s="5" t="s">
        <v>194</v>
      </c>
      <c r="B35" s="5" t="s">
        <v>34</v>
      </c>
      <c r="C35" s="6" t="s">
        <v>195</v>
      </c>
      <c r="D35" s="5" t="n">
        <v>1</v>
      </c>
      <c r="E35" s="5" t="n">
        <v>1</v>
      </c>
      <c r="F35" s="7" t="n">
        <v>1</v>
      </c>
      <c r="G35" s="5" t="s">
        <v>162</v>
      </c>
      <c r="H35" s="5" t="s">
        <v>46</v>
      </c>
      <c r="I35" s="5" t="s">
        <v>38</v>
      </c>
      <c r="J35" s="5" t="s">
        <v>196</v>
      </c>
      <c r="K35" s="5" t="s">
        <v>196</v>
      </c>
      <c r="L35" s="6" t="s">
        <v>197</v>
      </c>
      <c r="M35" s="8"/>
      <c r="N35" s="9"/>
      <c r="O35" s="10" t="str">
        <f aca="false">IF(M35="","",M35*F35)</f>
        <v/>
      </c>
    </row>
    <row r="36" customFormat="false" ht="15" hidden="false" customHeight="false" outlineLevel="0" collapsed="false">
      <c r="A36" s="5" t="s">
        <v>198</v>
      </c>
      <c r="B36" s="5" t="s">
        <v>34</v>
      </c>
      <c r="C36" s="6" t="s">
        <v>199</v>
      </c>
      <c r="D36" s="5" t="n">
        <v>1</v>
      </c>
      <c r="E36" s="5" t="n">
        <v>1</v>
      </c>
      <c r="F36" s="7" t="n">
        <v>1</v>
      </c>
      <c r="G36" s="5" t="s">
        <v>157</v>
      </c>
      <c r="H36" s="5" t="s">
        <v>46</v>
      </c>
      <c r="I36" s="5" t="s">
        <v>38</v>
      </c>
      <c r="J36" s="5" t="s">
        <v>158</v>
      </c>
      <c r="K36" s="5" t="s">
        <v>158</v>
      </c>
      <c r="L36" s="6" t="s">
        <v>200</v>
      </c>
      <c r="M36" s="8"/>
      <c r="N36" s="9"/>
      <c r="O36" s="10" t="str">
        <f aca="false">IF(M36="","",M36*F36)</f>
        <v/>
      </c>
    </row>
    <row r="37" customFormat="false" ht="15" hidden="false" customHeight="false" outlineLevel="0" collapsed="false">
      <c r="A37" s="5" t="s">
        <v>201</v>
      </c>
      <c r="B37" s="5" t="s">
        <v>34</v>
      </c>
      <c r="C37" s="6" t="s">
        <v>202</v>
      </c>
      <c r="D37" s="5" t="n">
        <v>1</v>
      </c>
      <c r="E37" s="5" t="n">
        <v>1</v>
      </c>
      <c r="F37" s="7" t="n">
        <v>1</v>
      </c>
      <c r="G37" s="5" t="s">
        <v>157</v>
      </c>
      <c r="H37" s="5" t="s">
        <v>46</v>
      </c>
      <c r="I37" s="5" t="s">
        <v>38</v>
      </c>
      <c r="J37" s="5" t="s">
        <v>203</v>
      </c>
      <c r="K37" s="5" t="s">
        <v>203</v>
      </c>
      <c r="L37" s="6" t="s">
        <v>204</v>
      </c>
      <c r="M37" s="8"/>
      <c r="N37" s="9"/>
      <c r="O37" s="10" t="str">
        <f aca="false">IF(M37="","",M37*F37)</f>
        <v/>
      </c>
    </row>
    <row r="38" customFormat="false" ht="15" hidden="false" customHeight="false" outlineLevel="0" collapsed="false">
      <c r="A38" s="5" t="s">
        <v>205</v>
      </c>
      <c r="B38" s="5" t="s">
        <v>34</v>
      </c>
      <c r="C38" s="6" t="s">
        <v>206</v>
      </c>
      <c r="D38" s="5" t="n">
        <v>1</v>
      </c>
      <c r="E38" s="5" t="n">
        <v>1</v>
      </c>
      <c r="F38" s="7" t="n">
        <v>1</v>
      </c>
      <c r="G38" s="5" t="s">
        <v>162</v>
      </c>
      <c r="H38" s="5" t="s">
        <v>46</v>
      </c>
      <c r="I38" s="5" t="s">
        <v>38</v>
      </c>
      <c r="J38" s="5" t="s">
        <v>207</v>
      </c>
      <c r="K38" s="5" t="s">
        <v>207</v>
      </c>
      <c r="L38" s="6" t="s">
        <v>208</v>
      </c>
      <c r="M38" s="8"/>
      <c r="N38" s="9"/>
      <c r="O38" s="10" t="str">
        <f aca="false">IF(M38="","",M38*F38)</f>
        <v/>
      </c>
    </row>
    <row r="39" customFormat="false" ht="15" hidden="false" customHeight="false" outlineLevel="0" collapsed="false">
      <c r="A39" s="5" t="s">
        <v>209</v>
      </c>
      <c r="B39" s="5" t="s">
        <v>34</v>
      </c>
      <c r="C39" s="6" t="s">
        <v>210</v>
      </c>
      <c r="D39" s="5" t="n">
        <v>1</v>
      </c>
      <c r="E39" s="5" t="n">
        <v>1</v>
      </c>
      <c r="F39" s="7" t="n">
        <v>1</v>
      </c>
      <c r="G39" s="5" t="s">
        <v>157</v>
      </c>
      <c r="H39" s="5" t="s">
        <v>37</v>
      </c>
      <c r="I39" s="5" t="s">
        <v>38</v>
      </c>
      <c r="J39" s="5" t="s">
        <v>211</v>
      </c>
      <c r="K39" s="5" t="s">
        <v>211</v>
      </c>
      <c r="L39" s="6" t="s">
        <v>212</v>
      </c>
      <c r="M39" s="8"/>
      <c r="N39" s="9"/>
      <c r="O39" s="10" t="str">
        <f aca="false">IF(M39="","",M39*F39)</f>
        <v/>
      </c>
    </row>
    <row r="40" customFormat="false" ht="15" hidden="false" customHeight="false" outlineLevel="0" collapsed="false">
      <c r="A40" s="5" t="s">
        <v>213</v>
      </c>
      <c r="B40" s="5" t="s">
        <v>34</v>
      </c>
      <c r="C40" s="6" t="s">
        <v>214</v>
      </c>
      <c r="D40" s="5" t="n">
        <v>1</v>
      </c>
      <c r="E40" s="5" t="n">
        <v>1</v>
      </c>
      <c r="F40" s="7" t="n">
        <v>1</v>
      </c>
      <c r="G40" s="5" t="s">
        <v>162</v>
      </c>
      <c r="H40" s="5" t="s">
        <v>37</v>
      </c>
      <c r="I40" s="5" t="s">
        <v>38</v>
      </c>
      <c r="J40" s="5" t="s">
        <v>215</v>
      </c>
      <c r="K40" s="5" t="s">
        <v>215</v>
      </c>
      <c r="L40" s="6" t="s">
        <v>216</v>
      </c>
      <c r="M40" s="8"/>
      <c r="N40" s="9"/>
      <c r="O40" s="10" t="str">
        <f aca="false">IF(M40="","",M40*F40)</f>
        <v/>
      </c>
    </row>
    <row r="41" customFormat="false" ht="15" hidden="false" customHeight="false" outlineLevel="0" collapsed="false">
      <c r="A41" s="5" t="s">
        <v>217</v>
      </c>
      <c r="B41" s="5" t="s">
        <v>34</v>
      </c>
      <c r="C41" s="6" t="s">
        <v>218</v>
      </c>
      <c r="D41" s="5" t="n">
        <v>1</v>
      </c>
      <c r="E41" s="5" t="n">
        <v>1</v>
      </c>
      <c r="F41" s="7" t="n">
        <v>1</v>
      </c>
      <c r="G41" s="5" t="s">
        <v>162</v>
      </c>
      <c r="H41" s="5" t="s">
        <v>37</v>
      </c>
      <c r="I41" s="5" t="s">
        <v>38</v>
      </c>
      <c r="J41" s="5" t="s">
        <v>215</v>
      </c>
      <c r="K41" s="5" t="s">
        <v>215</v>
      </c>
      <c r="L41" s="6" t="s">
        <v>219</v>
      </c>
      <c r="M41" s="8"/>
      <c r="N41" s="9"/>
      <c r="O41" s="10" t="str">
        <f aca="false">IF(M41="","",M41*F41)</f>
        <v/>
      </c>
    </row>
    <row r="42" customFormat="false" ht="15" hidden="false" customHeight="false" outlineLevel="0" collapsed="false">
      <c r="A42" s="5" t="s">
        <v>220</v>
      </c>
      <c r="B42" s="5" t="s">
        <v>34</v>
      </c>
      <c r="C42" s="6" t="s">
        <v>221</v>
      </c>
      <c r="D42" s="5" t="n">
        <v>1</v>
      </c>
      <c r="E42" s="5" t="n">
        <v>1</v>
      </c>
      <c r="F42" s="7" t="n">
        <v>1</v>
      </c>
      <c r="G42" s="5" t="s">
        <v>157</v>
      </c>
      <c r="H42" s="5" t="s">
        <v>37</v>
      </c>
      <c r="I42" s="5" t="s">
        <v>38</v>
      </c>
      <c r="J42" s="5" t="s">
        <v>222</v>
      </c>
      <c r="K42" s="5" t="s">
        <v>222</v>
      </c>
      <c r="L42" s="6" t="s">
        <v>223</v>
      </c>
      <c r="M42" s="8"/>
      <c r="N42" s="9"/>
      <c r="O42" s="10" t="str">
        <f aca="false">IF(M42="","",M42*F42)</f>
        <v/>
      </c>
    </row>
    <row r="43" customFormat="false" ht="15" hidden="false" customHeight="false" outlineLevel="0" collapsed="false">
      <c r="A43" s="5" t="s">
        <v>224</v>
      </c>
      <c r="B43" s="5" t="s">
        <v>34</v>
      </c>
      <c r="C43" s="6" t="s">
        <v>225</v>
      </c>
      <c r="D43" s="5" t="n">
        <v>1</v>
      </c>
      <c r="E43" s="5" t="n">
        <v>1</v>
      </c>
      <c r="F43" s="7" t="n">
        <v>1</v>
      </c>
      <c r="G43" s="5" t="s">
        <v>162</v>
      </c>
      <c r="H43" s="5" t="s">
        <v>37</v>
      </c>
      <c r="I43" s="5" t="s">
        <v>38</v>
      </c>
      <c r="J43" s="5" t="s">
        <v>77</v>
      </c>
      <c r="K43" s="5" t="s">
        <v>77</v>
      </c>
      <c r="L43" s="6" t="s">
        <v>226</v>
      </c>
      <c r="M43" s="8"/>
      <c r="N43" s="9"/>
      <c r="O43" s="10" t="str">
        <f aca="false">IF(M43="","",M43*F43)</f>
        <v/>
      </c>
    </row>
    <row r="44" customFormat="false" ht="15" hidden="false" customHeight="false" outlineLevel="0" collapsed="false">
      <c r="A44" s="5" t="s">
        <v>227</v>
      </c>
      <c r="B44" s="5" t="s">
        <v>34</v>
      </c>
      <c r="C44" s="6" t="s">
        <v>228</v>
      </c>
      <c r="D44" s="5" t="n">
        <v>1</v>
      </c>
      <c r="E44" s="5" t="n">
        <v>1</v>
      </c>
      <c r="F44" s="7" t="n">
        <v>1</v>
      </c>
      <c r="G44" s="5" t="s">
        <v>162</v>
      </c>
      <c r="H44" s="5" t="s">
        <v>46</v>
      </c>
      <c r="I44" s="5" t="s">
        <v>38</v>
      </c>
      <c r="J44" s="5" t="s">
        <v>229</v>
      </c>
      <c r="K44" s="5" t="s">
        <v>229</v>
      </c>
      <c r="L44" s="6" t="s">
        <v>230</v>
      </c>
      <c r="M44" s="8"/>
      <c r="N44" s="9"/>
      <c r="O44" s="10" t="str">
        <f aca="false">IF(M44="","",M44*F44)</f>
        <v/>
      </c>
    </row>
    <row r="45" customFormat="false" ht="15" hidden="false" customHeight="false" outlineLevel="0" collapsed="false">
      <c r="A45" s="5" t="s">
        <v>231</v>
      </c>
      <c r="B45" s="5" t="s">
        <v>34</v>
      </c>
      <c r="C45" s="6" t="s">
        <v>232</v>
      </c>
      <c r="D45" s="5" t="n">
        <v>1</v>
      </c>
      <c r="E45" s="5" t="n">
        <v>1</v>
      </c>
      <c r="F45" s="7" t="n">
        <v>1</v>
      </c>
      <c r="G45" s="5" t="s">
        <v>162</v>
      </c>
      <c r="H45" s="5" t="s">
        <v>46</v>
      </c>
      <c r="I45" s="5" t="s">
        <v>38</v>
      </c>
      <c r="J45" s="5" t="s">
        <v>233</v>
      </c>
      <c r="K45" s="5" t="s">
        <v>233</v>
      </c>
      <c r="L45" s="6" t="s">
        <v>234</v>
      </c>
      <c r="M45" s="8"/>
      <c r="N45" s="9"/>
      <c r="O45" s="10" t="str">
        <f aca="false">IF(M45="","",M45*F45)</f>
        <v/>
      </c>
    </row>
    <row r="46" customFormat="false" ht="15" hidden="false" customHeight="false" outlineLevel="0" collapsed="false">
      <c r="A46" s="5" t="s">
        <v>235</v>
      </c>
      <c r="B46" s="5" t="s">
        <v>34</v>
      </c>
      <c r="C46" s="6" t="s">
        <v>236</v>
      </c>
      <c r="D46" s="5" t="n">
        <v>1</v>
      </c>
      <c r="E46" s="5" t="n">
        <v>1</v>
      </c>
      <c r="F46" s="7" t="n">
        <v>1</v>
      </c>
      <c r="G46" s="5" t="s">
        <v>157</v>
      </c>
      <c r="H46" s="5" t="s">
        <v>46</v>
      </c>
      <c r="I46" s="5" t="s">
        <v>38</v>
      </c>
      <c r="J46" s="5" t="s">
        <v>237</v>
      </c>
      <c r="K46" s="5" t="s">
        <v>237</v>
      </c>
      <c r="L46" s="6" t="s">
        <v>238</v>
      </c>
      <c r="M46" s="8"/>
      <c r="N46" s="9"/>
      <c r="O46" s="10" t="str">
        <f aca="false">IF(M46="","",M46*F46)</f>
        <v/>
      </c>
    </row>
    <row r="47" customFormat="false" ht="15" hidden="false" customHeight="false" outlineLevel="0" collapsed="false">
      <c r="A47" s="5" t="s">
        <v>239</v>
      </c>
      <c r="B47" s="5" t="s">
        <v>34</v>
      </c>
      <c r="C47" s="6" t="s">
        <v>240</v>
      </c>
      <c r="D47" s="5" t="n">
        <v>1</v>
      </c>
      <c r="E47" s="5" t="n">
        <v>1</v>
      </c>
      <c r="F47" s="7" t="n">
        <v>1</v>
      </c>
      <c r="G47" s="5" t="s">
        <v>157</v>
      </c>
      <c r="H47" s="5" t="s">
        <v>46</v>
      </c>
      <c r="I47" s="5" t="s">
        <v>38</v>
      </c>
      <c r="J47" s="5" t="s">
        <v>124</v>
      </c>
      <c r="K47" s="5" t="s">
        <v>124</v>
      </c>
      <c r="L47" s="6" t="s">
        <v>241</v>
      </c>
      <c r="M47" s="8"/>
      <c r="N47" s="9"/>
      <c r="O47" s="10" t="str">
        <f aca="false">IF(M47="","",M47*F47)</f>
        <v/>
      </c>
    </row>
    <row r="48" customFormat="false" ht="15" hidden="false" customHeight="false" outlineLevel="0" collapsed="false">
      <c r="A48" s="5" t="s">
        <v>242</v>
      </c>
      <c r="B48" s="5" t="s">
        <v>34</v>
      </c>
      <c r="C48" s="6" t="s">
        <v>243</v>
      </c>
      <c r="D48" s="5" t="n">
        <v>1</v>
      </c>
      <c r="E48" s="5" t="n">
        <v>1</v>
      </c>
      <c r="F48" s="7" t="n">
        <v>1</v>
      </c>
      <c r="G48" s="5" t="s">
        <v>157</v>
      </c>
      <c r="H48" s="5" t="s">
        <v>37</v>
      </c>
      <c r="I48" s="5" t="s">
        <v>38</v>
      </c>
      <c r="J48" s="5" t="s">
        <v>244</v>
      </c>
      <c r="K48" s="5" t="s">
        <v>244</v>
      </c>
      <c r="L48" s="6" t="s">
        <v>245</v>
      </c>
      <c r="M48" s="8"/>
      <c r="N48" s="9"/>
      <c r="O48" s="10" t="str">
        <f aca="false">IF(M48="","",M48*F48)</f>
        <v/>
      </c>
    </row>
    <row r="49" customFormat="false" ht="15" hidden="false" customHeight="false" outlineLevel="0" collapsed="false">
      <c r="A49" s="5" t="s">
        <v>246</v>
      </c>
      <c r="B49" s="5" t="s">
        <v>34</v>
      </c>
      <c r="C49" s="6" t="s">
        <v>247</v>
      </c>
      <c r="D49" s="5" t="n">
        <v>1</v>
      </c>
      <c r="E49" s="5" t="n">
        <v>1</v>
      </c>
      <c r="F49" s="7" t="n">
        <v>1</v>
      </c>
      <c r="G49" s="5" t="s">
        <v>157</v>
      </c>
      <c r="H49" s="5" t="s">
        <v>37</v>
      </c>
      <c r="I49" s="5" t="s">
        <v>38</v>
      </c>
      <c r="J49" s="5" t="s">
        <v>248</v>
      </c>
      <c r="K49" s="5" t="s">
        <v>248</v>
      </c>
      <c r="L49" s="6" t="s">
        <v>249</v>
      </c>
      <c r="M49" s="8"/>
      <c r="N49" s="9"/>
      <c r="O49" s="10" t="str">
        <f aca="false">IF(M49="","",M49*F49)</f>
        <v/>
      </c>
    </row>
    <row r="50" customFormat="false" ht="15" hidden="false" customHeight="false" outlineLevel="0" collapsed="false">
      <c r="A50" s="5" t="s">
        <v>250</v>
      </c>
      <c r="B50" s="5" t="s">
        <v>34</v>
      </c>
      <c r="C50" s="6" t="s">
        <v>251</v>
      </c>
      <c r="D50" s="5" t="n">
        <v>1</v>
      </c>
      <c r="E50" s="5" t="n">
        <v>1</v>
      </c>
      <c r="F50" s="7" t="n">
        <v>1</v>
      </c>
      <c r="G50" s="5" t="s">
        <v>157</v>
      </c>
      <c r="H50" s="5" t="s">
        <v>46</v>
      </c>
      <c r="I50" s="5" t="s">
        <v>38</v>
      </c>
      <c r="J50" s="5" t="s">
        <v>48</v>
      </c>
      <c r="K50" s="5" t="s">
        <v>48</v>
      </c>
      <c r="L50" s="6" t="s">
        <v>252</v>
      </c>
      <c r="M50" s="8"/>
      <c r="N50" s="9"/>
      <c r="O50" s="10" t="str">
        <f aca="false">IF(M50="","",M50*F50)</f>
        <v/>
      </c>
    </row>
    <row r="51" customFormat="false" ht="15" hidden="false" customHeight="false" outlineLevel="0" collapsed="false">
      <c r="A51" s="5" t="s">
        <v>253</v>
      </c>
      <c r="B51" s="5" t="s">
        <v>34</v>
      </c>
      <c r="C51" s="6" t="s">
        <v>254</v>
      </c>
      <c r="D51" s="5" t="n">
        <v>1</v>
      </c>
      <c r="E51" s="5" t="n">
        <v>1</v>
      </c>
      <c r="F51" s="7" t="n">
        <v>1</v>
      </c>
      <c r="G51" s="5" t="s">
        <v>162</v>
      </c>
      <c r="H51" s="5" t="s">
        <v>46</v>
      </c>
      <c r="I51" s="5" t="s">
        <v>38</v>
      </c>
      <c r="J51" s="5" t="s">
        <v>255</v>
      </c>
      <c r="K51" s="5" t="s">
        <v>255</v>
      </c>
      <c r="L51" s="6" t="s">
        <v>256</v>
      </c>
      <c r="M51" s="8"/>
      <c r="N51" s="9"/>
      <c r="O51" s="10" t="str">
        <f aca="false">IF(M51="","",M51*F51)</f>
        <v/>
      </c>
    </row>
    <row r="52" customFormat="false" ht="15" hidden="false" customHeight="false" outlineLevel="0" collapsed="false">
      <c r="A52" s="5" t="s">
        <v>257</v>
      </c>
      <c r="B52" s="5" t="s">
        <v>34</v>
      </c>
      <c r="C52" s="6" t="s">
        <v>258</v>
      </c>
      <c r="D52" s="5" t="n">
        <v>1</v>
      </c>
      <c r="E52" s="5" t="n">
        <v>1</v>
      </c>
      <c r="F52" s="7" t="n">
        <v>1</v>
      </c>
      <c r="G52" s="5" t="s">
        <v>162</v>
      </c>
      <c r="H52" s="5" t="s">
        <v>46</v>
      </c>
      <c r="I52" s="5" t="s">
        <v>38</v>
      </c>
      <c r="J52" s="5" t="s">
        <v>259</v>
      </c>
      <c r="K52" s="5" t="s">
        <v>259</v>
      </c>
      <c r="L52" s="6" t="s">
        <v>260</v>
      </c>
      <c r="M52" s="8"/>
      <c r="N52" s="9"/>
      <c r="O52" s="10" t="str">
        <f aca="false">IF(M52="","",M52*F52)</f>
        <v/>
      </c>
    </row>
    <row r="53" customFormat="false" ht="15" hidden="false" customHeight="false" outlineLevel="0" collapsed="false">
      <c r="A53" s="5" t="s">
        <v>261</v>
      </c>
      <c r="B53" s="5" t="s">
        <v>34</v>
      </c>
      <c r="C53" s="6" t="s">
        <v>262</v>
      </c>
      <c r="D53" s="5" t="n">
        <v>1</v>
      </c>
      <c r="E53" s="5" t="n">
        <v>1</v>
      </c>
      <c r="F53" s="7" t="n">
        <v>1</v>
      </c>
      <c r="G53" s="5" t="s">
        <v>162</v>
      </c>
      <c r="H53" s="5" t="s">
        <v>46</v>
      </c>
      <c r="I53" s="5" t="s">
        <v>38</v>
      </c>
      <c r="J53" s="5" t="s">
        <v>144</v>
      </c>
      <c r="K53" s="5" t="s">
        <v>144</v>
      </c>
      <c r="L53" s="6" t="s">
        <v>263</v>
      </c>
      <c r="M53" s="8"/>
      <c r="N53" s="9"/>
      <c r="O53" s="10" t="str">
        <f aca="false">IF(M53="","",M53*F53)</f>
        <v/>
      </c>
    </row>
    <row r="54" customFormat="false" ht="15" hidden="false" customHeight="false" outlineLevel="0" collapsed="false">
      <c r="A54" s="5" t="s">
        <v>264</v>
      </c>
      <c r="B54" s="5" t="s">
        <v>34</v>
      </c>
      <c r="C54" s="6" t="s">
        <v>265</v>
      </c>
      <c r="D54" s="5" t="n">
        <v>1</v>
      </c>
      <c r="E54" s="5" t="n">
        <v>1</v>
      </c>
      <c r="F54" s="7" t="n">
        <v>1</v>
      </c>
      <c r="G54" s="5" t="s">
        <v>266</v>
      </c>
      <c r="H54" s="5" t="s">
        <v>133</v>
      </c>
      <c r="I54" s="5" t="s">
        <v>38</v>
      </c>
      <c r="J54" s="5" t="s">
        <v>267</v>
      </c>
      <c r="K54" s="5" t="s">
        <v>267</v>
      </c>
      <c r="L54" s="6" t="s">
        <v>268</v>
      </c>
      <c r="M54" s="8"/>
      <c r="N54" s="9"/>
      <c r="O54" s="10" t="str">
        <f aca="false">IF(M54="","",M54*F54)</f>
        <v/>
      </c>
    </row>
    <row r="55" customFormat="false" ht="15" hidden="false" customHeight="false" outlineLevel="0" collapsed="false">
      <c r="A55" s="5" t="s">
        <v>269</v>
      </c>
      <c r="B55" s="5" t="s">
        <v>34</v>
      </c>
      <c r="C55" s="6" t="s">
        <v>270</v>
      </c>
      <c r="D55" s="5" t="n">
        <v>1</v>
      </c>
      <c r="E55" s="5" t="n">
        <v>1</v>
      </c>
      <c r="F55" s="7" t="n">
        <v>1</v>
      </c>
      <c r="G55" s="5" t="s">
        <v>266</v>
      </c>
      <c r="H55" s="5" t="s">
        <v>37</v>
      </c>
      <c r="I55" s="5" t="s">
        <v>38</v>
      </c>
      <c r="J55" s="5" t="s">
        <v>148</v>
      </c>
      <c r="K55" s="5" t="s">
        <v>148</v>
      </c>
      <c r="L55" s="6" t="s">
        <v>271</v>
      </c>
      <c r="M55" s="8"/>
      <c r="N55" s="9"/>
      <c r="O55" s="10" t="str">
        <f aca="false">IF(M55="","",M55*F55)</f>
        <v/>
      </c>
    </row>
    <row r="56" customFormat="false" ht="15" hidden="false" customHeight="false" outlineLevel="0" collapsed="false">
      <c r="A56" s="5" t="s">
        <v>272</v>
      </c>
      <c r="B56" s="5" t="s">
        <v>34</v>
      </c>
      <c r="C56" s="6" t="s">
        <v>273</v>
      </c>
      <c r="D56" s="5" t="n">
        <v>1</v>
      </c>
      <c r="E56" s="5" t="n">
        <v>1</v>
      </c>
      <c r="F56" s="7" t="n">
        <v>1</v>
      </c>
      <c r="G56" s="5" t="s">
        <v>266</v>
      </c>
      <c r="H56" s="5" t="s">
        <v>37</v>
      </c>
      <c r="I56" s="5" t="s">
        <v>38</v>
      </c>
      <c r="J56" s="5" t="s">
        <v>87</v>
      </c>
      <c r="K56" s="5" t="s">
        <v>87</v>
      </c>
      <c r="L56" s="6" t="s">
        <v>274</v>
      </c>
      <c r="M56" s="8"/>
      <c r="N56" s="9"/>
      <c r="O56" s="10" t="str">
        <f aca="false">IF(M56="","",M56*F56)</f>
        <v/>
      </c>
    </row>
    <row r="57" customFormat="false" ht="15" hidden="false" customHeight="false" outlineLevel="0" collapsed="false">
      <c r="A57" s="5" t="s">
        <v>275</v>
      </c>
      <c r="B57" s="5" t="s">
        <v>34</v>
      </c>
      <c r="C57" s="6" t="s">
        <v>276</v>
      </c>
      <c r="D57" s="5" t="n">
        <v>1</v>
      </c>
      <c r="E57" s="5" t="n">
        <v>1</v>
      </c>
      <c r="F57" s="7" t="n">
        <v>1</v>
      </c>
      <c r="G57" s="5" t="s">
        <v>266</v>
      </c>
      <c r="H57" s="5" t="s">
        <v>133</v>
      </c>
      <c r="I57" s="5" t="s">
        <v>38</v>
      </c>
      <c r="J57" s="5" t="s">
        <v>277</v>
      </c>
      <c r="K57" s="5" t="s">
        <v>277</v>
      </c>
      <c r="L57" s="6" t="s">
        <v>278</v>
      </c>
      <c r="M57" s="8"/>
      <c r="N57" s="9"/>
      <c r="O57" s="10" t="str">
        <f aca="false">IF(M57="","",M57*F57)</f>
        <v/>
      </c>
    </row>
    <row r="58" customFormat="false" ht="15" hidden="false" customHeight="false" outlineLevel="0" collapsed="false">
      <c r="A58" s="5" t="s">
        <v>279</v>
      </c>
      <c r="B58" s="5" t="s">
        <v>34</v>
      </c>
      <c r="C58" s="6" t="s">
        <v>280</v>
      </c>
      <c r="D58" s="5" t="n">
        <v>1</v>
      </c>
      <c r="E58" s="5" t="n">
        <v>1</v>
      </c>
      <c r="F58" s="7" t="n">
        <v>1</v>
      </c>
      <c r="G58" s="5" t="s">
        <v>266</v>
      </c>
      <c r="H58" s="5" t="s">
        <v>37</v>
      </c>
      <c r="I58" s="5" t="s">
        <v>38</v>
      </c>
      <c r="J58" s="5" t="s">
        <v>281</v>
      </c>
      <c r="K58" s="5" t="s">
        <v>281</v>
      </c>
      <c r="L58" s="6" t="s">
        <v>282</v>
      </c>
      <c r="M58" s="8"/>
      <c r="N58" s="9"/>
      <c r="O58" s="10" t="str">
        <f aca="false">IF(M58="","",M58*F58)</f>
        <v/>
      </c>
    </row>
    <row r="59" customFormat="false" ht="23.85" hidden="false" customHeight="false" outlineLevel="0" collapsed="false">
      <c r="A59" s="5" t="s">
        <v>283</v>
      </c>
      <c r="B59" s="5" t="s">
        <v>34</v>
      </c>
      <c r="C59" s="6" t="s">
        <v>284</v>
      </c>
      <c r="D59" s="5" t="n">
        <v>1</v>
      </c>
      <c r="E59" s="5" t="n">
        <v>1</v>
      </c>
      <c r="F59" s="7" t="n">
        <v>1</v>
      </c>
      <c r="G59" s="5" t="s">
        <v>162</v>
      </c>
      <c r="H59" s="5" t="s">
        <v>37</v>
      </c>
      <c r="I59" s="5" t="s">
        <v>38</v>
      </c>
      <c r="J59" s="5" t="s">
        <v>285</v>
      </c>
      <c r="K59" s="5" t="s">
        <v>285</v>
      </c>
      <c r="L59" s="6" t="s">
        <v>286</v>
      </c>
      <c r="M59" s="8"/>
      <c r="N59" s="9"/>
      <c r="O59" s="10" t="str">
        <f aca="false">IF(M59="","",M59*F59)</f>
        <v/>
      </c>
    </row>
    <row r="60" customFormat="false" ht="15" hidden="false" customHeight="false" outlineLevel="0" collapsed="false">
      <c r="A60" s="5" t="s">
        <v>287</v>
      </c>
      <c r="B60" s="5" t="s">
        <v>34</v>
      </c>
      <c r="C60" s="6" t="s">
        <v>288</v>
      </c>
      <c r="D60" s="5" t="n">
        <v>1</v>
      </c>
      <c r="E60" s="5" t="n">
        <v>1</v>
      </c>
      <c r="F60" s="7" t="n">
        <v>1</v>
      </c>
      <c r="G60" s="5" t="s">
        <v>266</v>
      </c>
      <c r="H60" s="5" t="s">
        <v>81</v>
      </c>
      <c r="I60" s="5" t="s">
        <v>71</v>
      </c>
      <c r="J60" s="5" t="s">
        <v>289</v>
      </c>
      <c r="K60" s="5" t="s">
        <v>289</v>
      </c>
      <c r="L60" s="6" t="s">
        <v>290</v>
      </c>
      <c r="M60" s="8"/>
      <c r="N60" s="9"/>
      <c r="O60" s="10" t="str">
        <f aca="false">IF(M60="","",M60*F60)</f>
        <v/>
      </c>
    </row>
    <row r="61" customFormat="false" ht="15" hidden="false" customHeight="false" outlineLevel="0" collapsed="false">
      <c r="A61" s="5" t="s">
        <v>291</v>
      </c>
      <c r="B61" s="5" t="s">
        <v>34</v>
      </c>
      <c r="C61" s="6" t="s">
        <v>292</v>
      </c>
      <c r="D61" s="5" t="n">
        <v>1</v>
      </c>
      <c r="E61" s="5" t="n">
        <v>1</v>
      </c>
      <c r="F61" s="7" t="n">
        <v>1</v>
      </c>
      <c r="G61" s="5" t="s">
        <v>266</v>
      </c>
      <c r="H61" s="5" t="s">
        <v>81</v>
      </c>
      <c r="I61" s="5" t="s">
        <v>71</v>
      </c>
      <c r="J61" s="5" t="s">
        <v>293</v>
      </c>
      <c r="K61" s="5" t="s">
        <v>293</v>
      </c>
      <c r="L61" s="6" t="s">
        <v>294</v>
      </c>
      <c r="M61" s="8"/>
      <c r="N61" s="9"/>
      <c r="O61" s="10" t="str">
        <f aca="false">IF(M61="","",M61*F61)</f>
        <v/>
      </c>
    </row>
    <row r="62" customFormat="false" ht="15" hidden="false" customHeight="false" outlineLevel="0" collapsed="false">
      <c r="A62" s="5" t="s">
        <v>295</v>
      </c>
      <c r="B62" s="5" t="s">
        <v>34</v>
      </c>
      <c r="C62" s="6" t="s">
        <v>296</v>
      </c>
      <c r="D62" s="5" t="n">
        <v>1</v>
      </c>
      <c r="E62" s="5" t="n">
        <v>1</v>
      </c>
      <c r="F62" s="7" t="n">
        <v>1</v>
      </c>
      <c r="G62" s="5" t="s">
        <v>157</v>
      </c>
      <c r="H62" s="5" t="s">
        <v>81</v>
      </c>
      <c r="I62" s="5" t="s">
        <v>71</v>
      </c>
      <c r="J62" s="5" t="s">
        <v>297</v>
      </c>
      <c r="K62" s="5" t="s">
        <v>297</v>
      </c>
      <c r="L62" s="6" t="s">
        <v>298</v>
      </c>
      <c r="M62" s="8"/>
      <c r="N62" s="9"/>
      <c r="O62" s="10" t="str">
        <f aca="false">IF(M62="","",M62*F62)</f>
        <v/>
      </c>
    </row>
    <row r="63" customFormat="false" ht="15" hidden="false" customHeight="false" outlineLevel="0" collapsed="false">
      <c r="A63" s="5" t="s">
        <v>299</v>
      </c>
      <c r="B63" s="5" t="s">
        <v>34</v>
      </c>
      <c r="C63" s="6" t="s">
        <v>300</v>
      </c>
      <c r="D63" s="5" t="n">
        <v>1</v>
      </c>
      <c r="E63" s="5" t="n">
        <v>1</v>
      </c>
      <c r="F63" s="7" t="n">
        <v>1</v>
      </c>
      <c r="G63" s="5" t="s">
        <v>157</v>
      </c>
      <c r="H63" s="5" t="s">
        <v>81</v>
      </c>
      <c r="I63" s="5" t="s">
        <v>71</v>
      </c>
      <c r="J63" s="5" t="s">
        <v>301</v>
      </c>
      <c r="K63" s="5" t="s">
        <v>301</v>
      </c>
      <c r="L63" s="6" t="s">
        <v>302</v>
      </c>
      <c r="M63" s="8"/>
      <c r="N63" s="9"/>
      <c r="O63" s="10" t="str">
        <f aca="false">IF(M63="","",M63*F63)</f>
        <v/>
      </c>
    </row>
    <row r="64" customFormat="false" ht="15" hidden="false" customHeight="false" outlineLevel="0" collapsed="false">
      <c r="A64" s="5" t="s">
        <v>303</v>
      </c>
      <c r="B64" s="5" t="s">
        <v>34</v>
      </c>
      <c r="C64" s="6" t="s">
        <v>258</v>
      </c>
      <c r="D64" s="5" t="n">
        <v>1</v>
      </c>
      <c r="E64" s="5" t="n">
        <v>1</v>
      </c>
      <c r="F64" s="7" t="n">
        <v>1</v>
      </c>
      <c r="G64" s="5" t="s">
        <v>157</v>
      </c>
      <c r="H64" s="5" t="s">
        <v>81</v>
      </c>
      <c r="I64" s="5" t="s">
        <v>71</v>
      </c>
      <c r="J64" s="5" t="s">
        <v>304</v>
      </c>
      <c r="K64" s="5" t="s">
        <v>304</v>
      </c>
      <c r="L64" s="6" t="s">
        <v>305</v>
      </c>
      <c r="M64" s="8"/>
      <c r="N64" s="9"/>
      <c r="O64" s="10" t="str">
        <f aca="false">IF(M64="","",M64*F64)</f>
        <v/>
      </c>
    </row>
    <row r="65" customFormat="false" ht="15" hidden="false" customHeight="false" outlineLevel="0" collapsed="false">
      <c r="A65" s="5" t="s">
        <v>306</v>
      </c>
      <c r="B65" s="5" t="s">
        <v>34</v>
      </c>
      <c r="C65" s="6" t="s">
        <v>258</v>
      </c>
      <c r="D65" s="5" t="n">
        <v>1</v>
      </c>
      <c r="E65" s="5" t="n">
        <v>1</v>
      </c>
      <c r="F65" s="7" t="n">
        <v>1</v>
      </c>
      <c r="G65" s="5" t="s">
        <v>157</v>
      </c>
      <c r="H65" s="5" t="s">
        <v>81</v>
      </c>
      <c r="I65" s="5" t="s">
        <v>71</v>
      </c>
      <c r="J65" s="5" t="s">
        <v>307</v>
      </c>
      <c r="K65" s="5" t="s">
        <v>307</v>
      </c>
      <c r="L65" s="6" t="s">
        <v>308</v>
      </c>
      <c r="M65" s="8"/>
      <c r="N65" s="9"/>
      <c r="O65" s="10" t="str">
        <f aca="false">IF(M65="","",M65*F65)</f>
        <v/>
      </c>
    </row>
    <row r="66" customFormat="false" ht="15" hidden="false" customHeight="false" outlineLevel="0" collapsed="false">
      <c r="A66" s="5" t="s">
        <v>309</v>
      </c>
      <c r="B66" s="5" t="s">
        <v>152</v>
      </c>
      <c r="C66" s="6" t="s">
        <v>310</v>
      </c>
      <c r="D66" s="5" t="n">
        <v>1</v>
      </c>
      <c r="E66" s="5" t="n">
        <v>1</v>
      </c>
      <c r="F66" s="7" t="n">
        <v>1</v>
      </c>
      <c r="G66" s="5" t="s">
        <v>162</v>
      </c>
      <c r="H66" s="5" t="s">
        <v>46</v>
      </c>
      <c r="I66" s="5" t="s">
        <v>38</v>
      </c>
      <c r="J66" s="5" t="s">
        <v>311</v>
      </c>
      <c r="K66" s="5" t="s">
        <v>311</v>
      </c>
      <c r="L66" s="6" t="s">
        <v>312</v>
      </c>
      <c r="M66" s="8"/>
      <c r="N66" s="9"/>
      <c r="O66" s="10" t="str">
        <f aca="false">IF(M66="","",M66*F66)</f>
        <v/>
      </c>
    </row>
    <row r="67" customFormat="false" ht="15" hidden="false" customHeight="false" outlineLevel="0" collapsed="false">
      <c r="A67" s="5" t="s">
        <v>313</v>
      </c>
      <c r="B67" s="5" t="s">
        <v>152</v>
      </c>
      <c r="C67" s="6" t="s">
        <v>314</v>
      </c>
      <c r="D67" s="5" t="n">
        <v>1</v>
      </c>
      <c r="E67" s="5" t="n">
        <v>1</v>
      </c>
      <c r="F67" s="7" t="n">
        <v>1</v>
      </c>
      <c r="G67" s="5" t="s">
        <v>162</v>
      </c>
      <c r="H67" s="5" t="s">
        <v>46</v>
      </c>
      <c r="I67" s="5" t="s">
        <v>38</v>
      </c>
      <c r="J67" s="5" t="s">
        <v>315</v>
      </c>
      <c r="K67" s="5" t="s">
        <v>315</v>
      </c>
      <c r="L67" s="6" t="s">
        <v>316</v>
      </c>
      <c r="M67" s="8"/>
      <c r="N67" s="9"/>
      <c r="O67" s="10" t="str">
        <f aca="false">IF(M67="","",M67*F67)</f>
        <v/>
      </c>
    </row>
    <row r="68" customFormat="false" ht="15" hidden="false" customHeight="false" outlineLevel="0" collapsed="false">
      <c r="A68" s="5" t="s">
        <v>317</v>
      </c>
      <c r="B68" s="5" t="s">
        <v>152</v>
      </c>
      <c r="C68" s="6" t="s">
        <v>318</v>
      </c>
      <c r="D68" s="5" t="n">
        <v>1</v>
      </c>
      <c r="E68" s="5" t="n">
        <v>1</v>
      </c>
      <c r="F68" s="7" t="n">
        <v>1</v>
      </c>
      <c r="G68" s="5" t="s">
        <v>162</v>
      </c>
      <c r="H68" s="5" t="s">
        <v>46</v>
      </c>
      <c r="I68" s="5" t="s">
        <v>38</v>
      </c>
      <c r="J68" s="5" t="s">
        <v>319</v>
      </c>
      <c r="K68" s="5" t="s">
        <v>319</v>
      </c>
      <c r="L68" s="6" t="s">
        <v>320</v>
      </c>
      <c r="M68" s="8"/>
      <c r="N68" s="9"/>
      <c r="O68" s="10" t="str">
        <f aca="false">IF(M68="","",M68*F68)</f>
        <v/>
      </c>
    </row>
    <row r="69" customFormat="false" ht="15" hidden="false" customHeight="false" outlineLevel="0" collapsed="false">
      <c r="A69" s="5" t="s">
        <v>321</v>
      </c>
      <c r="B69" s="5" t="s">
        <v>152</v>
      </c>
      <c r="C69" s="6" t="s">
        <v>322</v>
      </c>
      <c r="D69" s="5" t="n">
        <v>1</v>
      </c>
      <c r="E69" s="5" t="n">
        <v>1</v>
      </c>
      <c r="F69" s="7" t="n">
        <v>1</v>
      </c>
      <c r="G69" s="5" t="s">
        <v>266</v>
      </c>
      <c r="H69" s="5" t="s">
        <v>81</v>
      </c>
      <c r="I69" s="5" t="s">
        <v>323</v>
      </c>
      <c r="J69" s="5" t="s">
        <v>98</v>
      </c>
      <c r="K69" s="5" t="s">
        <v>98</v>
      </c>
      <c r="L69" s="6" t="s">
        <v>324</v>
      </c>
      <c r="M69" s="8"/>
      <c r="N69" s="9"/>
      <c r="O69" s="10" t="str">
        <f aca="false">IF(M69="","",M69*F69)</f>
        <v/>
      </c>
    </row>
    <row r="70" customFormat="false" ht="15" hidden="false" customHeight="false" outlineLevel="0" collapsed="false">
      <c r="A70" s="5" t="s">
        <v>325</v>
      </c>
      <c r="B70" s="5" t="s">
        <v>152</v>
      </c>
      <c r="C70" s="6" t="s">
        <v>326</v>
      </c>
      <c r="D70" s="5" t="n">
        <v>1</v>
      </c>
      <c r="E70" s="5" t="n">
        <v>1</v>
      </c>
      <c r="F70" s="7" t="n">
        <v>1</v>
      </c>
      <c r="G70" s="5" t="s">
        <v>162</v>
      </c>
      <c r="H70" s="5" t="s">
        <v>37</v>
      </c>
      <c r="I70" s="5" t="s">
        <v>38</v>
      </c>
      <c r="J70" s="5" t="s">
        <v>192</v>
      </c>
      <c r="K70" s="5" t="s">
        <v>192</v>
      </c>
      <c r="L70" s="6" t="s">
        <v>327</v>
      </c>
      <c r="M70" s="8"/>
      <c r="N70" s="9"/>
      <c r="O70" s="10" t="str">
        <f aca="false">IF(M70="","",M70*F70)</f>
        <v/>
      </c>
    </row>
    <row r="71" customFormat="false" ht="15" hidden="false" customHeight="false" outlineLevel="0" collapsed="false">
      <c r="A71" s="5" t="s">
        <v>328</v>
      </c>
      <c r="B71" s="5" t="s">
        <v>152</v>
      </c>
      <c r="C71" s="6" t="s">
        <v>329</v>
      </c>
      <c r="D71" s="5" t="n">
        <v>1</v>
      </c>
      <c r="E71" s="5" t="n">
        <v>1</v>
      </c>
      <c r="F71" s="7" t="n">
        <v>1</v>
      </c>
      <c r="G71" s="5" t="s">
        <v>162</v>
      </c>
      <c r="H71" s="5" t="s">
        <v>46</v>
      </c>
      <c r="I71" s="5" t="s">
        <v>38</v>
      </c>
      <c r="J71" s="5" t="s">
        <v>330</v>
      </c>
      <c r="K71" s="5" t="s">
        <v>330</v>
      </c>
      <c r="L71" s="6" t="s">
        <v>331</v>
      </c>
      <c r="M71" s="8"/>
      <c r="N71" s="9"/>
      <c r="O71" s="10" t="str">
        <f aca="false">IF(M71="","",M71*F71)</f>
        <v/>
      </c>
    </row>
    <row r="72" customFormat="false" ht="15" hidden="false" customHeight="false" outlineLevel="0" collapsed="false">
      <c r="A72" s="5" t="s">
        <v>332</v>
      </c>
      <c r="B72" s="5" t="s">
        <v>152</v>
      </c>
      <c r="C72" s="6" t="s">
        <v>333</v>
      </c>
      <c r="D72" s="5" t="n">
        <v>1</v>
      </c>
      <c r="E72" s="5" t="n">
        <v>1</v>
      </c>
      <c r="F72" s="7" t="n">
        <v>1</v>
      </c>
      <c r="G72" s="5" t="s">
        <v>266</v>
      </c>
      <c r="H72" s="5" t="s">
        <v>81</v>
      </c>
      <c r="I72" s="5" t="s">
        <v>71</v>
      </c>
      <c r="J72" s="5" t="s">
        <v>334</v>
      </c>
      <c r="K72" s="5" t="s">
        <v>334</v>
      </c>
      <c r="L72" s="6" t="s">
        <v>335</v>
      </c>
      <c r="M72" s="8"/>
      <c r="N72" s="9"/>
      <c r="O72" s="10" t="str">
        <f aca="false">IF(M72="","",M72*F72)</f>
        <v/>
      </c>
    </row>
    <row r="73" customFormat="false" ht="15" hidden="false" customHeight="false" outlineLevel="0" collapsed="false">
      <c r="A73" s="5" t="s">
        <v>336</v>
      </c>
      <c r="B73" s="5" t="s">
        <v>152</v>
      </c>
      <c r="C73" s="6" t="s">
        <v>337</v>
      </c>
      <c r="D73" s="5" t="n">
        <v>1</v>
      </c>
      <c r="E73" s="5" t="n">
        <v>1</v>
      </c>
      <c r="F73" s="7" t="n">
        <v>1</v>
      </c>
      <c r="G73" s="5" t="s">
        <v>162</v>
      </c>
      <c r="H73" s="5" t="s">
        <v>46</v>
      </c>
      <c r="I73" s="5" t="s">
        <v>38</v>
      </c>
      <c r="J73" s="5" t="s">
        <v>338</v>
      </c>
      <c r="K73" s="5" t="s">
        <v>338</v>
      </c>
      <c r="L73" s="6" t="s">
        <v>339</v>
      </c>
      <c r="M73" s="8"/>
      <c r="N73" s="9"/>
      <c r="O73" s="10" t="str">
        <f aca="false">IF(M73="","",M73*F73)</f>
        <v/>
      </c>
    </row>
    <row r="74" customFormat="false" ht="15" hidden="false" customHeight="false" outlineLevel="0" collapsed="false">
      <c r="A74" s="5" t="s">
        <v>340</v>
      </c>
      <c r="B74" s="5" t="s">
        <v>152</v>
      </c>
      <c r="C74" s="6" t="s">
        <v>341</v>
      </c>
      <c r="D74" s="5" t="n">
        <v>1</v>
      </c>
      <c r="E74" s="5" t="n">
        <v>1</v>
      </c>
      <c r="F74" s="7" t="n">
        <v>1</v>
      </c>
      <c r="G74" s="5" t="s">
        <v>162</v>
      </c>
      <c r="H74" s="5" t="s">
        <v>342</v>
      </c>
      <c r="I74" s="5" t="s">
        <v>38</v>
      </c>
      <c r="J74" s="5" t="s">
        <v>343</v>
      </c>
      <c r="K74" s="5" t="s">
        <v>343</v>
      </c>
      <c r="L74" s="6" t="s">
        <v>344</v>
      </c>
      <c r="M74" s="8"/>
      <c r="N74" s="9"/>
      <c r="O74" s="10" t="str">
        <f aca="false">IF(M74="","",M74*F74)</f>
        <v/>
      </c>
    </row>
    <row r="75" customFormat="false" ht="15" hidden="false" customHeight="false" outlineLevel="0" collapsed="false">
      <c r="A75" s="5" t="s">
        <v>345</v>
      </c>
      <c r="B75" s="5" t="s">
        <v>152</v>
      </c>
      <c r="C75" s="6" t="s">
        <v>346</v>
      </c>
      <c r="D75" s="5" t="n">
        <v>1</v>
      </c>
      <c r="E75" s="5" t="n">
        <v>1</v>
      </c>
      <c r="F75" s="7" t="n">
        <v>1</v>
      </c>
      <c r="G75" s="5" t="s">
        <v>162</v>
      </c>
      <c r="H75" s="5" t="s">
        <v>37</v>
      </c>
      <c r="I75" s="5" t="s">
        <v>38</v>
      </c>
      <c r="J75" s="5" t="s">
        <v>347</v>
      </c>
      <c r="K75" s="5" t="s">
        <v>347</v>
      </c>
      <c r="L75" s="6" t="s">
        <v>348</v>
      </c>
      <c r="M75" s="8"/>
      <c r="N75" s="9"/>
      <c r="O75" s="10" t="str">
        <f aca="false">IF(M75="","",M75*F75)</f>
        <v/>
      </c>
    </row>
    <row r="76" customFormat="false" ht="15" hidden="false" customHeight="false" outlineLevel="0" collapsed="false">
      <c r="A76" s="5" t="s">
        <v>349</v>
      </c>
      <c r="B76" s="5" t="s">
        <v>152</v>
      </c>
      <c r="C76" s="6" t="s">
        <v>350</v>
      </c>
      <c r="D76" s="5" t="n">
        <v>1</v>
      </c>
      <c r="E76" s="5" t="n">
        <v>1</v>
      </c>
      <c r="F76" s="7" t="n">
        <v>1</v>
      </c>
      <c r="G76" s="5" t="s">
        <v>162</v>
      </c>
      <c r="H76" s="5" t="s">
        <v>351</v>
      </c>
      <c r="I76" s="5" t="s">
        <v>38</v>
      </c>
      <c r="J76" s="5" t="s">
        <v>352</v>
      </c>
      <c r="K76" s="5" t="s">
        <v>352</v>
      </c>
      <c r="L76" s="6" t="s">
        <v>353</v>
      </c>
      <c r="M76" s="8"/>
      <c r="N76" s="9"/>
      <c r="O76" s="10" t="str">
        <f aca="false">IF(M76="","",M76*F76)</f>
        <v/>
      </c>
    </row>
    <row r="77" customFormat="false" ht="15" hidden="false" customHeight="false" outlineLevel="0" collapsed="false">
      <c r="A77" s="5" t="s">
        <v>354</v>
      </c>
      <c r="B77" s="5" t="s">
        <v>152</v>
      </c>
      <c r="C77" s="6" t="s">
        <v>355</v>
      </c>
      <c r="D77" s="5" t="n">
        <v>1</v>
      </c>
      <c r="E77" s="5" t="n">
        <v>1</v>
      </c>
      <c r="F77" s="7" t="n">
        <v>1</v>
      </c>
      <c r="G77" s="5" t="s">
        <v>162</v>
      </c>
      <c r="H77" s="5" t="s">
        <v>356</v>
      </c>
      <c r="I77" s="5" t="s">
        <v>38</v>
      </c>
      <c r="J77" s="5" t="s">
        <v>347</v>
      </c>
      <c r="K77" s="5" t="s">
        <v>347</v>
      </c>
      <c r="L77" s="6" t="s">
        <v>357</v>
      </c>
      <c r="M77" s="8"/>
      <c r="N77" s="9"/>
      <c r="O77" s="10" t="str">
        <f aca="false">IF(M77="","",M77*F77)</f>
        <v/>
      </c>
    </row>
    <row r="78" customFormat="false" ht="15" hidden="false" customHeight="false" outlineLevel="0" collapsed="false">
      <c r="A78" s="5" t="s">
        <v>358</v>
      </c>
      <c r="B78" s="5" t="s">
        <v>152</v>
      </c>
      <c r="C78" s="6" t="s">
        <v>359</v>
      </c>
      <c r="D78" s="5" t="n">
        <v>1</v>
      </c>
      <c r="E78" s="5" t="n">
        <v>1</v>
      </c>
      <c r="F78" s="7" t="n">
        <v>1</v>
      </c>
      <c r="G78" s="5" t="s">
        <v>162</v>
      </c>
      <c r="H78" s="5" t="s">
        <v>46</v>
      </c>
      <c r="I78" s="5" t="s">
        <v>38</v>
      </c>
      <c r="J78" s="5" t="s">
        <v>360</v>
      </c>
      <c r="K78" s="5" t="s">
        <v>360</v>
      </c>
      <c r="L78" s="6" t="s">
        <v>361</v>
      </c>
      <c r="M78" s="8"/>
      <c r="N78" s="9"/>
      <c r="O78" s="10" t="str">
        <f aca="false">IF(M78="","",M78*F78)</f>
        <v/>
      </c>
    </row>
    <row r="79" customFormat="false" ht="15" hidden="false" customHeight="false" outlineLevel="0" collapsed="false">
      <c r="A79" s="5" t="s">
        <v>362</v>
      </c>
      <c r="B79" s="5" t="s">
        <v>152</v>
      </c>
      <c r="C79" s="6" t="s">
        <v>363</v>
      </c>
      <c r="D79" s="5" t="n">
        <v>1</v>
      </c>
      <c r="E79" s="5" t="n">
        <v>1</v>
      </c>
      <c r="F79" s="7" t="n">
        <v>1</v>
      </c>
      <c r="G79" s="5" t="s">
        <v>162</v>
      </c>
      <c r="H79" s="5" t="s">
        <v>37</v>
      </c>
      <c r="I79" s="5" t="s">
        <v>38</v>
      </c>
      <c r="J79" s="5" t="s">
        <v>364</v>
      </c>
      <c r="K79" s="5" t="s">
        <v>364</v>
      </c>
      <c r="L79" s="6" t="s">
        <v>365</v>
      </c>
      <c r="M79" s="8"/>
      <c r="N79" s="9"/>
      <c r="O79" s="10" t="str">
        <f aca="false">IF(M79="","",M79*F79)</f>
        <v/>
      </c>
    </row>
    <row r="80" customFormat="false" ht="15" hidden="false" customHeight="false" outlineLevel="0" collapsed="false">
      <c r="A80" s="5" t="s">
        <v>366</v>
      </c>
      <c r="B80" s="5" t="s">
        <v>152</v>
      </c>
      <c r="C80" s="6" t="s">
        <v>367</v>
      </c>
      <c r="D80" s="5" t="n">
        <v>1</v>
      </c>
      <c r="E80" s="5" t="n">
        <v>1</v>
      </c>
      <c r="F80" s="7" t="n">
        <v>1</v>
      </c>
      <c r="G80" s="5" t="s">
        <v>162</v>
      </c>
      <c r="H80" s="5" t="s">
        <v>46</v>
      </c>
      <c r="I80" s="5" t="s">
        <v>38</v>
      </c>
      <c r="J80" s="5" t="s">
        <v>338</v>
      </c>
      <c r="K80" s="5" t="s">
        <v>338</v>
      </c>
      <c r="L80" s="6" t="s">
        <v>368</v>
      </c>
      <c r="M80" s="8"/>
      <c r="N80" s="9"/>
      <c r="O80" s="10" t="str">
        <f aca="false">IF(M80="","",M80*F80)</f>
        <v/>
      </c>
    </row>
    <row r="81" customFormat="false" ht="15" hidden="false" customHeight="false" outlineLevel="0" collapsed="false">
      <c r="A81" s="5" t="s">
        <v>369</v>
      </c>
      <c r="B81" s="5" t="s">
        <v>152</v>
      </c>
      <c r="C81" s="6" t="s">
        <v>370</v>
      </c>
      <c r="D81" s="5" t="n">
        <v>1</v>
      </c>
      <c r="E81" s="5" t="n">
        <v>1</v>
      </c>
      <c r="F81" s="7" t="n">
        <v>1</v>
      </c>
      <c r="G81" s="5" t="s">
        <v>162</v>
      </c>
      <c r="H81" s="5" t="s">
        <v>46</v>
      </c>
      <c r="I81" s="5" t="s">
        <v>38</v>
      </c>
      <c r="J81" s="5" t="s">
        <v>259</v>
      </c>
      <c r="K81" s="5" t="s">
        <v>259</v>
      </c>
      <c r="L81" s="6" t="s">
        <v>371</v>
      </c>
      <c r="M81" s="8"/>
      <c r="N81" s="9"/>
      <c r="O81" s="10" t="str">
        <f aca="false">IF(M81="","",M81*F81)</f>
        <v/>
      </c>
    </row>
    <row r="82" customFormat="false" ht="15" hidden="false" customHeight="false" outlineLevel="0" collapsed="false">
      <c r="A82" s="5" t="s">
        <v>372</v>
      </c>
      <c r="B82" s="5" t="s">
        <v>152</v>
      </c>
      <c r="C82" s="6" t="s">
        <v>373</v>
      </c>
      <c r="D82" s="5" t="n">
        <v>1</v>
      </c>
      <c r="E82" s="5" t="n">
        <v>1</v>
      </c>
      <c r="F82" s="7" t="n">
        <v>1</v>
      </c>
      <c r="G82" s="5" t="s">
        <v>157</v>
      </c>
      <c r="H82" s="5" t="s">
        <v>46</v>
      </c>
      <c r="I82" s="5" t="s">
        <v>38</v>
      </c>
      <c r="J82" s="5" t="s">
        <v>347</v>
      </c>
      <c r="K82" s="5" t="s">
        <v>347</v>
      </c>
      <c r="L82" s="6" t="s">
        <v>374</v>
      </c>
      <c r="M82" s="8"/>
      <c r="N82" s="9"/>
      <c r="O82" s="10" t="str">
        <f aca="false">IF(M82="","",M82*F82)</f>
        <v/>
      </c>
    </row>
    <row r="83" customFormat="false" ht="15" hidden="false" customHeight="false" outlineLevel="0" collapsed="false">
      <c r="A83" s="5" t="s">
        <v>375</v>
      </c>
      <c r="B83" s="5" t="s">
        <v>43</v>
      </c>
      <c r="C83" s="6" t="s">
        <v>376</v>
      </c>
      <c r="D83" s="5" t="n">
        <v>1</v>
      </c>
      <c r="E83" s="5" t="n">
        <v>1</v>
      </c>
      <c r="F83" s="7" t="n">
        <v>1</v>
      </c>
      <c r="G83" s="5" t="s">
        <v>157</v>
      </c>
      <c r="H83" s="5" t="s">
        <v>46</v>
      </c>
      <c r="I83" s="5" t="s">
        <v>38</v>
      </c>
      <c r="J83" s="5" t="s">
        <v>297</v>
      </c>
      <c r="K83" s="5" t="s">
        <v>297</v>
      </c>
      <c r="L83" s="6" t="s">
        <v>377</v>
      </c>
      <c r="M83" s="8"/>
      <c r="N83" s="9"/>
      <c r="O83" s="10" t="str">
        <f aca="false">IF(M83="","",M83*F83)</f>
        <v/>
      </c>
    </row>
    <row r="84" customFormat="false" ht="15" hidden="false" customHeight="false" outlineLevel="0" collapsed="false">
      <c r="A84" s="5" t="s">
        <v>378</v>
      </c>
      <c r="B84" s="5" t="s">
        <v>43</v>
      </c>
      <c r="C84" s="6" t="s">
        <v>379</v>
      </c>
      <c r="D84" s="5" t="n">
        <v>1</v>
      </c>
      <c r="E84" s="5" t="n">
        <v>1</v>
      </c>
      <c r="F84" s="7" t="n">
        <v>1</v>
      </c>
      <c r="G84" s="5" t="s">
        <v>157</v>
      </c>
      <c r="H84" s="5" t="s">
        <v>46</v>
      </c>
      <c r="I84" s="5" t="s">
        <v>38</v>
      </c>
      <c r="J84" s="5" t="s">
        <v>289</v>
      </c>
      <c r="K84" s="5" t="s">
        <v>289</v>
      </c>
      <c r="L84" s="6" t="s">
        <v>380</v>
      </c>
      <c r="M84" s="8"/>
      <c r="N84" s="9"/>
      <c r="O84" s="10" t="str">
        <f aca="false">IF(M84="","",M84*F84)</f>
        <v/>
      </c>
    </row>
    <row r="85" customFormat="false" ht="15" hidden="false" customHeight="false" outlineLevel="0" collapsed="false">
      <c r="A85" s="5" t="s">
        <v>381</v>
      </c>
      <c r="B85" s="5" t="s">
        <v>43</v>
      </c>
      <c r="C85" s="6" t="s">
        <v>381</v>
      </c>
      <c r="D85" s="5" t="n">
        <v>1</v>
      </c>
      <c r="E85" s="5" t="n">
        <v>1</v>
      </c>
      <c r="F85" s="7" t="n">
        <v>1</v>
      </c>
      <c r="G85" s="5" t="s">
        <v>162</v>
      </c>
      <c r="H85" s="5" t="s">
        <v>37</v>
      </c>
      <c r="I85" s="5" t="s">
        <v>38</v>
      </c>
      <c r="J85" s="5" t="s">
        <v>382</v>
      </c>
      <c r="K85" s="5" t="s">
        <v>382</v>
      </c>
      <c r="L85" s="6" t="s">
        <v>383</v>
      </c>
      <c r="M85" s="8"/>
      <c r="N85" s="9"/>
      <c r="O85" s="10" t="str">
        <f aca="false">IF(M85="","",M85*F85)</f>
        <v/>
      </c>
    </row>
    <row r="86" customFormat="false" ht="15" hidden="false" customHeight="false" outlineLevel="0" collapsed="false">
      <c r="A86" s="5" t="s">
        <v>384</v>
      </c>
      <c r="B86" s="5" t="s">
        <v>43</v>
      </c>
      <c r="C86" s="6" t="s">
        <v>385</v>
      </c>
      <c r="D86" s="5" t="n">
        <v>1</v>
      </c>
      <c r="E86" s="5" t="n">
        <v>1</v>
      </c>
      <c r="F86" s="7" t="n">
        <v>1</v>
      </c>
      <c r="G86" s="5" t="s">
        <v>157</v>
      </c>
      <c r="H86" s="5" t="s">
        <v>386</v>
      </c>
      <c r="I86" s="5" t="s">
        <v>323</v>
      </c>
      <c r="J86" s="5" t="s">
        <v>54</v>
      </c>
      <c r="K86" s="5" t="s">
        <v>54</v>
      </c>
      <c r="L86" s="6" t="s">
        <v>387</v>
      </c>
      <c r="M86" s="8"/>
      <c r="N86" s="9"/>
      <c r="O86" s="10" t="str">
        <f aca="false">IF(M86="","",M86*F86)</f>
        <v/>
      </c>
    </row>
    <row r="87" customFormat="false" ht="15" hidden="false" customHeight="false" outlineLevel="0" collapsed="false">
      <c r="A87" s="5" t="s">
        <v>388</v>
      </c>
      <c r="B87" s="5" t="s">
        <v>43</v>
      </c>
      <c r="C87" s="6" t="s">
        <v>389</v>
      </c>
      <c r="D87" s="5" t="n">
        <v>1</v>
      </c>
      <c r="E87" s="5" t="n">
        <v>1</v>
      </c>
      <c r="F87" s="7" t="n">
        <v>1</v>
      </c>
      <c r="G87" s="5" t="s">
        <v>157</v>
      </c>
      <c r="H87" s="5" t="s">
        <v>390</v>
      </c>
      <c r="I87" s="5" t="s">
        <v>323</v>
      </c>
      <c r="J87" s="5" t="s">
        <v>391</v>
      </c>
      <c r="K87" s="5" t="s">
        <v>391</v>
      </c>
      <c r="L87" s="6" t="s">
        <v>392</v>
      </c>
      <c r="M87" s="8"/>
      <c r="N87" s="9"/>
      <c r="O87" s="10" t="str">
        <f aca="false">IF(M87="","",M87*F87)</f>
        <v/>
      </c>
    </row>
    <row r="88" customFormat="false" ht="15" hidden="false" customHeight="false" outlineLevel="0" collapsed="false">
      <c r="A88" s="5" t="s">
        <v>393</v>
      </c>
      <c r="B88" s="5" t="s">
        <v>43</v>
      </c>
      <c r="C88" s="6" t="s">
        <v>394</v>
      </c>
      <c r="D88" s="5" t="n">
        <v>1</v>
      </c>
      <c r="E88" s="5" t="n">
        <v>1</v>
      </c>
      <c r="F88" s="7" t="n">
        <v>1</v>
      </c>
      <c r="G88" s="5" t="s">
        <v>266</v>
      </c>
      <c r="H88" s="5" t="s">
        <v>37</v>
      </c>
      <c r="I88" s="5" t="s">
        <v>38</v>
      </c>
      <c r="J88" s="5" t="s">
        <v>395</v>
      </c>
      <c r="K88" s="5" t="s">
        <v>395</v>
      </c>
      <c r="L88" s="6" t="s">
        <v>396</v>
      </c>
      <c r="M88" s="8"/>
      <c r="N88" s="9"/>
      <c r="O88" s="10" t="str">
        <f aca="false">IF(M88="","",M88*F88)</f>
        <v/>
      </c>
    </row>
    <row r="89" customFormat="false" ht="15" hidden="false" customHeight="false" outlineLevel="0" collapsed="false">
      <c r="A89" s="5" t="s">
        <v>397</v>
      </c>
      <c r="B89" s="5" t="s">
        <v>43</v>
      </c>
      <c r="C89" s="6" t="s">
        <v>398</v>
      </c>
      <c r="D89" s="5" t="n">
        <v>1</v>
      </c>
      <c r="E89" s="5" t="n">
        <v>1</v>
      </c>
      <c r="F89" s="7" t="n">
        <v>1</v>
      </c>
      <c r="G89" s="5" t="s">
        <v>399</v>
      </c>
      <c r="H89" s="5" t="s">
        <v>400</v>
      </c>
      <c r="I89" s="5" t="s">
        <v>401</v>
      </c>
      <c r="J89" s="5" t="s">
        <v>304</v>
      </c>
      <c r="K89" s="5" t="s">
        <v>304</v>
      </c>
      <c r="L89" s="6" t="s">
        <v>402</v>
      </c>
      <c r="M89" s="8"/>
      <c r="N89" s="9"/>
      <c r="O89" s="10" t="str">
        <f aca="false">IF(M89="","",M89*F89)</f>
        <v/>
      </c>
    </row>
    <row r="90" customFormat="false" ht="15" hidden="false" customHeight="false" outlineLevel="0" collapsed="false">
      <c r="A90" s="5" t="s">
        <v>403</v>
      </c>
      <c r="B90" s="5" t="s">
        <v>43</v>
      </c>
      <c r="C90" s="6" t="s">
        <v>404</v>
      </c>
      <c r="D90" s="5" t="n">
        <v>1</v>
      </c>
      <c r="E90" s="5" t="n">
        <v>1</v>
      </c>
      <c r="F90" s="7" t="n">
        <v>1</v>
      </c>
      <c r="G90" s="5" t="s">
        <v>399</v>
      </c>
      <c r="H90" s="5" t="s">
        <v>405</v>
      </c>
      <c r="I90" s="5" t="s">
        <v>401</v>
      </c>
      <c r="J90" s="5" t="s">
        <v>391</v>
      </c>
      <c r="K90" s="5" t="s">
        <v>391</v>
      </c>
      <c r="L90" s="6" t="s">
        <v>406</v>
      </c>
      <c r="M90" s="8"/>
      <c r="N90" s="9"/>
      <c r="O90" s="10" t="str">
        <f aca="false">IF(M90="","",M90*F90)</f>
        <v/>
      </c>
    </row>
    <row r="91" customFormat="false" ht="15" hidden="false" customHeight="false" outlineLevel="0" collapsed="false">
      <c r="A91" s="5" t="s">
        <v>407</v>
      </c>
      <c r="B91" s="5" t="s">
        <v>43</v>
      </c>
      <c r="C91" s="6" t="s">
        <v>408</v>
      </c>
      <c r="D91" s="5" t="n">
        <v>1</v>
      </c>
      <c r="E91" s="5" t="n">
        <v>1</v>
      </c>
      <c r="F91" s="7" t="n">
        <v>1</v>
      </c>
      <c r="G91" s="5" t="s">
        <v>266</v>
      </c>
      <c r="H91" s="5" t="s">
        <v>81</v>
      </c>
      <c r="I91" s="5" t="s">
        <v>71</v>
      </c>
      <c r="J91" s="5" t="s">
        <v>59</v>
      </c>
      <c r="K91" s="5" t="s">
        <v>59</v>
      </c>
      <c r="L91" s="6" t="s">
        <v>409</v>
      </c>
      <c r="M91" s="8"/>
      <c r="N91" s="9"/>
      <c r="O91" s="10" t="str">
        <f aca="false">IF(M91="","",M91*F91)</f>
        <v/>
      </c>
    </row>
    <row r="92" customFormat="false" ht="15" hidden="false" customHeight="false" outlineLevel="0" collapsed="false">
      <c r="A92" s="5" t="s">
        <v>410</v>
      </c>
      <c r="B92" s="5" t="s">
        <v>43</v>
      </c>
      <c r="C92" s="6" t="s">
        <v>411</v>
      </c>
      <c r="D92" s="5" t="n">
        <v>1</v>
      </c>
      <c r="E92" s="5" t="n">
        <v>1</v>
      </c>
      <c r="F92" s="7" t="n">
        <v>1</v>
      </c>
      <c r="G92" s="5" t="s">
        <v>266</v>
      </c>
      <c r="H92" s="5" t="s">
        <v>143</v>
      </c>
      <c r="I92" s="5" t="s">
        <v>71</v>
      </c>
      <c r="J92" s="5" t="s">
        <v>65</v>
      </c>
      <c r="K92" s="5" t="s">
        <v>65</v>
      </c>
      <c r="L92" s="6" t="s">
        <v>412</v>
      </c>
      <c r="M92" s="8"/>
      <c r="N92" s="9"/>
      <c r="O92" s="10" t="str">
        <f aca="false">IF(M92="","",M92*F92)</f>
        <v/>
      </c>
    </row>
    <row r="94" customFormat="false" ht="15" hidden="false" customHeight="false" outlineLevel="0" collapsed="false">
      <c r="A94" s="11" t="s">
        <v>413</v>
      </c>
      <c r="B94" s="11"/>
      <c r="C94" s="11"/>
      <c r="D94" s="11" t="n">
        <f aca="false">SUM(D2:D92)</f>
        <v>132</v>
      </c>
      <c r="E94" s="11"/>
      <c r="F94" s="12" t="n">
        <f aca="false">SUM(F2:F92)</f>
        <v>132</v>
      </c>
      <c r="G94" s="11"/>
      <c r="H94" s="11"/>
      <c r="I94" s="11"/>
      <c r="J94" s="11"/>
      <c r="K94" s="11"/>
      <c r="L94" s="11"/>
      <c r="M94" s="11" t="str">
        <f aca="false">COUNT(M2:M92)&amp;" of "&amp;COUNTA(A2:A92)&amp;" priced"</f>
        <v>0 of 91 priced</v>
      </c>
      <c r="N94" s="11"/>
      <c r="O94" s="13" t="n">
        <f aca="false">SUM(O2:O92)</f>
        <v>0</v>
      </c>
    </row>
  </sheetData>
  <autoFilter ref="A1:O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22"/>
    <col collapsed="false" customWidth="true" hidden="false" outlineLevel="0" max="5" min="4" style="0" width="8"/>
    <col collapsed="false" customWidth="true" hidden="false" outlineLevel="0" max="6" min="6" style="0" width="11"/>
    <col collapsed="false" customWidth="true" hidden="false" outlineLevel="0" max="7" min="7" style="0" width="7"/>
    <col collapsed="false" customWidth="true" hidden="false" outlineLevel="0" max="8" min="8" style="0" width="11"/>
    <col collapsed="false" customWidth="true" hidden="false" outlineLevel="0" max="9" min="9" style="0" width="9"/>
    <col collapsed="false" customWidth="true" hidden="false" outlineLevel="0" max="10" min="10" style="0" width="24"/>
    <col collapsed="false" customWidth="true" hidden="false" outlineLevel="0" max="11" min="11" style="0" width="36"/>
    <col collapsed="false" customWidth="true" hidden="false" outlineLevel="0" max="12" min="12" style="0" width="26"/>
    <col collapsed="false" customWidth="true" hidden="false" outlineLevel="0" max="13" min="13" style="0" width="12"/>
    <col collapsed="false" customWidth="true" hidden="false" outlineLevel="0" max="14" min="14" style="0" width="20"/>
    <col collapsed="false" customWidth="true" hidden="false" outlineLevel="0" max="15" min="15" style="0" width="28"/>
    <col collapsed="false" customWidth="true" hidden="false" outlineLevel="0" max="16" min="16" style="0" width="13"/>
    <col collapsed="false" customWidth="true" hidden="false" outlineLevel="0" max="17" min="17" style="0" width="14"/>
    <col collapsed="false" customWidth="true" hidden="false" outlineLevel="0" max="18" min="18" style="0" width="80"/>
  </cols>
  <sheetData>
    <row r="1" customFormat="false" ht="30" hidden="false" customHeight="true" outlineLevel="0" collapsed="false">
      <c r="A1" s="4" t="s">
        <v>414</v>
      </c>
      <c r="B1" s="4" t="s">
        <v>415</v>
      </c>
      <c r="C1" s="4" t="s">
        <v>416</v>
      </c>
      <c r="D1" s="4" t="s">
        <v>417</v>
      </c>
      <c r="E1" s="4" t="s">
        <v>418</v>
      </c>
      <c r="F1" s="4" t="s">
        <v>419</v>
      </c>
      <c r="G1" s="4" t="s">
        <v>420</v>
      </c>
      <c r="H1" s="4" t="s">
        <v>421</v>
      </c>
      <c r="I1" s="4" t="s">
        <v>23</v>
      </c>
      <c r="J1" s="4" t="s">
        <v>18</v>
      </c>
      <c r="K1" s="4" t="s">
        <v>20</v>
      </c>
      <c r="L1" s="4" t="s">
        <v>422</v>
      </c>
      <c r="M1" s="4" t="s">
        <v>423</v>
      </c>
      <c r="N1" s="4" t="s">
        <v>424</v>
      </c>
      <c r="O1" s="4" t="s">
        <v>425</v>
      </c>
      <c r="P1" s="4" t="s">
        <v>30</v>
      </c>
      <c r="Q1" s="4" t="s">
        <v>32</v>
      </c>
      <c r="R1" s="4" t="s">
        <v>426</v>
      </c>
    </row>
    <row r="2" customFormat="false" ht="68.65" hidden="false" customHeight="false" outlineLevel="0" collapsed="false">
      <c r="A2" s="5" t="s">
        <v>427</v>
      </c>
      <c r="B2" s="5" t="s">
        <v>428</v>
      </c>
      <c r="C2" s="5" t="s">
        <v>429</v>
      </c>
      <c r="D2" s="5" t="s">
        <v>430</v>
      </c>
      <c r="E2" s="5" t="s">
        <v>38</v>
      </c>
      <c r="F2" s="5" t="s">
        <v>46</v>
      </c>
      <c r="G2" s="5" t="s">
        <v>431</v>
      </c>
      <c r="H2" s="5" t="s">
        <v>54</v>
      </c>
      <c r="I2" s="7" t="n">
        <v>1</v>
      </c>
      <c r="J2" s="5" t="s">
        <v>100</v>
      </c>
      <c r="K2" s="6" t="s">
        <v>100</v>
      </c>
      <c r="L2" s="5"/>
      <c r="M2" s="5"/>
      <c r="N2" s="5" t="s">
        <v>432</v>
      </c>
      <c r="O2" s="5" t="s">
        <v>433</v>
      </c>
      <c r="P2" s="10" t="str">
        <f aca="false">IFERROR(IF(INDEX('Parts to price'!$M$2:$M$92,MATCH(J2,'Parts to price'!$A$2:$A$92,0))="","",INDEX('Parts to price'!$M$2:$M$92,MATCH(J2,'Parts to price'!$A$2:$A$92,0))),"")</f>
        <v/>
      </c>
      <c r="Q2" s="10" t="str">
        <f aca="false">IF(P2="","",P2*I2)</f>
        <v/>
      </c>
      <c r="R2" s="6" t="s">
        <v>434</v>
      </c>
    </row>
    <row r="3" customFormat="false" ht="79.85" hidden="false" customHeight="false" outlineLevel="0" collapsed="false">
      <c r="A3" s="5" t="s">
        <v>435</v>
      </c>
      <c r="B3" s="5" t="s">
        <v>428</v>
      </c>
      <c r="C3" s="5" t="s">
        <v>429</v>
      </c>
      <c r="D3" s="5" t="s">
        <v>430</v>
      </c>
      <c r="E3" s="5" t="s">
        <v>38</v>
      </c>
      <c r="F3" s="5" t="s">
        <v>46</v>
      </c>
      <c r="G3" s="5" t="s">
        <v>436</v>
      </c>
      <c r="H3" s="5" t="s">
        <v>101</v>
      </c>
      <c r="I3" s="7" t="n">
        <v>1</v>
      </c>
      <c r="J3" s="5" t="s">
        <v>100</v>
      </c>
      <c r="K3" s="6" t="s">
        <v>100</v>
      </c>
      <c r="L3" s="5"/>
      <c r="M3" s="5"/>
      <c r="N3" s="5" t="s">
        <v>432</v>
      </c>
      <c r="O3" s="5" t="s">
        <v>433</v>
      </c>
      <c r="P3" s="10" t="str">
        <f aca="false">IFERROR(IF(INDEX('Parts to price'!$M$2:$M$92,MATCH(J3,'Parts to price'!$A$2:$A$92,0))="","",INDEX('Parts to price'!$M$2:$M$92,MATCH(J3,'Parts to price'!$A$2:$A$92,0))),"")</f>
        <v/>
      </c>
      <c r="Q3" s="10" t="str">
        <f aca="false">IF(P3="","",P3*I3)</f>
        <v/>
      </c>
      <c r="R3" s="6" t="s">
        <v>437</v>
      </c>
    </row>
    <row r="4" customFormat="false" ht="79.85" hidden="false" customHeight="false" outlineLevel="0" collapsed="false">
      <c r="A4" s="5" t="s">
        <v>438</v>
      </c>
      <c r="B4" s="5" t="s">
        <v>428</v>
      </c>
      <c r="C4" s="5" t="s">
        <v>429</v>
      </c>
      <c r="D4" s="5" t="s">
        <v>430</v>
      </c>
      <c r="E4" s="5" t="s">
        <v>38</v>
      </c>
      <c r="F4" s="5" t="s">
        <v>46</v>
      </c>
      <c r="G4" s="5" t="s">
        <v>436</v>
      </c>
      <c r="H4" s="5" t="s">
        <v>101</v>
      </c>
      <c r="I4" s="7" t="n">
        <v>1</v>
      </c>
      <c r="J4" s="5" t="s">
        <v>100</v>
      </c>
      <c r="K4" s="6" t="s">
        <v>100</v>
      </c>
      <c r="L4" s="5"/>
      <c r="M4" s="5"/>
      <c r="N4" s="5" t="s">
        <v>432</v>
      </c>
      <c r="O4" s="5" t="s">
        <v>433</v>
      </c>
      <c r="P4" s="10" t="str">
        <f aca="false">IFERROR(IF(INDEX('Parts to price'!$M$2:$M$92,MATCH(J4,'Parts to price'!$A$2:$A$92,0))="","",INDEX('Parts to price'!$M$2:$M$92,MATCH(J4,'Parts to price'!$A$2:$A$92,0))),"")</f>
        <v/>
      </c>
      <c r="Q4" s="10" t="str">
        <f aca="false">IF(P4="","",P4*I4)</f>
        <v/>
      </c>
      <c r="R4" s="6" t="s">
        <v>439</v>
      </c>
    </row>
    <row r="5" customFormat="false" ht="79.85" hidden="false" customHeight="false" outlineLevel="0" collapsed="false">
      <c r="A5" s="5" t="s">
        <v>440</v>
      </c>
      <c r="B5" s="5" t="s">
        <v>428</v>
      </c>
      <c r="C5" s="5" t="s">
        <v>429</v>
      </c>
      <c r="D5" s="5" t="s">
        <v>430</v>
      </c>
      <c r="E5" s="5" t="s">
        <v>38</v>
      </c>
      <c r="F5" s="5" t="s">
        <v>37</v>
      </c>
      <c r="G5" s="5" t="s">
        <v>441</v>
      </c>
      <c r="H5" s="5" t="s">
        <v>59</v>
      </c>
      <c r="I5" s="7" t="n">
        <v>1</v>
      </c>
      <c r="J5" s="5" t="s">
        <v>56</v>
      </c>
      <c r="K5" s="6" t="s">
        <v>442</v>
      </c>
      <c r="L5" s="5" t="s">
        <v>56</v>
      </c>
      <c r="M5" s="5"/>
      <c r="N5" s="5" t="s">
        <v>443</v>
      </c>
      <c r="O5" s="5" t="s">
        <v>444</v>
      </c>
      <c r="P5" s="10" t="str">
        <f aca="false">IFERROR(IF(INDEX('Parts to price'!$M$2:$M$92,MATCH(J5,'Parts to price'!$A$2:$A$92,0))="","",INDEX('Parts to price'!$M$2:$M$92,MATCH(J5,'Parts to price'!$A$2:$A$92,0))),"")</f>
        <v/>
      </c>
      <c r="Q5" s="10" t="str">
        <f aca="false">IF(P5="","",P5*I5)</f>
        <v/>
      </c>
      <c r="R5" s="6" t="s">
        <v>445</v>
      </c>
    </row>
    <row r="6" customFormat="false" ht="79.85" hidden="false" customHeight="false" outlineLevel="0" collapsed="false">
      <c r="A6" s="5" t="s">
        <v>446</v>
      </c>
      <c r="B6" s="5" t="s">
        <v>428</v>
      </c>
      <c r="C6" s="5" t="s">
        <v>429</v>
      </c>
      <c r="D6" s="5" t="s">
        <v>430</v>
      </c>
      <c r="E6" s="5" t="s">
        <v>38</v>
      </c>
      <c r="F6" s="5" t="s">
        <v>37</v>
      </c>
      <c r="G6" s="5" t="s">
        <v>447</v>
      </c>
      <c r="H6" s="5" t="s">
        <v>72</v>
      </c>
      <c r="I6" s="7" t="n">
        <v>1</v>
      </c>
      <c r="J6" s="5" t="s">
        <v>56</v>
      </c>
      <c r="K6" s="6" t="s">
        <v>448</v>
      </c>
      <c r="L6" s="5" t="s">
        <v>56</v>
      </c>
      <c r="M6" s="5" t="s">
        <v>449</v>
      </c>
      <c r="N6" s="5"/>
      <c r="O6" s="5"/>
      <c r="P6" s="10" t="str">
        <f aca="false">IFERROR(IF(INDEX('Parts to price'!$M$2:$M$92,MATCH(J6,'Parts to price'!$A$2:$A$92,0))="","",INDEX('Parts to price'!$M$2:$M$92,MATCH(J6,'Parts to price'!$A$2:$A$92,0))),"")</f>
        <v/>
      </c>
      <c r="Q6" s="10" t="str">
        <f aca="false">IF(P6="","",P6*I6)</f>
        <v/>
      </c>
      <c r="R6" s="6" t="s">
        <v>450</v>
      </c>
    </row>
    <row r="7" customFormat="false" ht="57.45" hidden="false" customHeight="false" outlineLevel="0" collapsed="false">
      <c r="A7" s="5" t="s">
        <v>451</v>
      </c>
      <c r="B7" s="5" t="s">
        <v>428</v>
      </c>
      <c r="C7" s="5" t="s">
        <v>429</v>
      </c>
      <c r="D7" s="5" t="s">
        <v>430</v>
      </c>
      <c r="E7" s="5" t="s">
        <v>38</v>
      </c>
      <c r="F7" s="5" t="s">
        <v>37</v>
      </c>
      <c r="G7" s="5" t="s">
        <v>452</v>
      </c>
      <c r="H7" s="5" t="s">
        <v>40</v>
      </c>
      <c r="I7" s="7" t="n">
        <v>1</v>
      </c>
      <c r="J7" s="5" t="s">
        <v>56</v>
      </c>
      <c r="K7" s="6" t="s">
        <v>57</v>
      </c>
      <c r="L7" s="5" t="s">
        <v>56</v>
      </c>
      <c r="M7" s="5" t="s">
        <v>449</v>
      </c>
      <c r="N7" s="5" t="s">
        <v>443</v>
      </c>
      <c r="O7" s="5" t="s">
        <v>444</v>
      </c>
      <c r="P7" s="10" t="str">
        <f aca="false">IFERROR(IF(INDEX('Parts to price'!$M$2:$M$92,MATCH(J7,'Parts to price'!$A$2:$A$92,0))="","",INDEX('Parts to price'!$M$2:$M$92,MATCH(J7,'Parts to price'!$A$2:$A$92,0))),"")</f>
        <v/>
      </c>
      <c r="Q7" s="10" t="str">
        <f aca="false">IF(P7="","",P7*I7)</f>
        <v/>
      </c>
      <c r="R7" s="6" t="s">
        <v>453</v>
      </c>
    </row>
    <row r="8" customFormat="false" ht="79.85" hidden="false" customHeight="false" outlineLevel="0" collapsed="false">
      <c r="A8" s="5" t="s">
        <v>159</v>
      </c>
      <c r="B8" s="5" t="s">
        <v>454</v>
      </c>
      <c r="C8" s="5" t="s">
        <v>455</v>
      </c>
      <c r="D8" s="5" t="s">
        <v>430</v>
      </c>
      <c r="E8" s="5" t="s">
        <v>38</v>
      </c>
      <c r="F8" s="5" t="s">
        <v>133</v>
      </c>
      <c r="G8" s="5" t="s">
        <v>456</v>
      </c>
      <c r="H8" s="5" t="s">
        <v>158</v>
      </c>
      <c r="I8" s="7" t="n">
        <v>1</v>
      </c>
      <c r="J8" s="5" t="s">
        <v>155</v>
      </c>
      <c r="K8" s="6" t="s">
        <v>156</v>
      </c>
      <c r="L8" s="5" t="s">
        <v>155</v>
      </c>
      <c r="M8" s="5"/>
      <c r="N8" s="5" t="s">
        <v>457</v>
      </c>
      <c r="O8" s="5" t="s">
        <v>458</v>
      </c>
      <c r="P8" s="10" t="str">
        <f aca="false">IFERROR(IF(INDEX('Parts to price'!$M$2:$M$92,MATCH(J8,'Parts to price'!$A$2:$A$92,0))="","",INDEX('Parts to price'!$M$2:$M$92,MATCH(J8,'Parts to price'!$A$2:$A$92,0))),"")</f>
        <v/>
      </c>
      <c r="Q8" s="10" t="str">
        <f aca="false">IF(P8="","",P8*I8)</f>
        <v/>
      </c>
      <c r="R8" s="6" t="s">
        <v>459</v>
      </c>
    </row>
    <row r="9" customFormat="false" ht="79.85" hidden="false" customHeight="false" outlineLevel="0" collapsed="false">
      <c r="A9" s="5" t="s">
        <v>164</v>
      </c>
      <c r="B9" s="5" t="s">
        <v>428</v>
      </c>
      <c r="C9" s="5" t="s">
        <v>429</v>
      </c>
      <c r="D9" s="5" t="s">
        <v>430</v>
      </c>
      <c r="E9" s="5" t="s">
        <v>38</v>
      </c>
      <c r="F9" s="5" t="s">
        <v>81</v>
      </c>
      <c r="G9" s="5" t="s">
        <v>460</v>
      </c>
      <c r="H9" s="5" t="s">
        <v>163</v>
      </c>
      <c r="I9" s="7" t="n">
        <v>1</v>
      </c>
      <c r="J9" s="5" t="s">
        <v>160</v>
      </c>
      <c r="K9" s="6" t="s">
        <v>161</v>
      </c>
      <c r="L9" s="5" t="s">
        <v>160</v>
      </c>
      <c r="M9" s="5" t="s">
        <v>461</v>
      </c>
      <c r="N9" s="5" t="s">
        <v>462</v>
      </c>
      <c r="O9" s="5" t="s">
        <v>463</v>
      </c>
      <c r="P9" s="10" t="str">
        <f aca="false">IFERROR(IF(INDEX('Parts to price'!$M$2:$M$92,MATCH(J9,'Parts to price'!$A$2:$A$92,0))="","",INDEX('Parts to price'!$M$2:$M$92,MATCH(J9,'Parts to price'!$A$2:$A$92,0))),"")</f>
        <v/>
      </c>
      <c r="Q9" s="10" t="str">
        <f aca="false">IF(P9="","",P9*I9)</f>
        <v/>
      </c>
      <c r="R9" s="6" t="s">
        <v>464</v>
      </c>
    </row>
    <row r="10" customFormat="false" ht="68.65" hidden="false" customHeight="false" outlineLevel="0" collapsed="false">
      <c r="A10" s="5" t="s">
        <v>465</v>
      </c>
      <c r="B10" s="5" t="s">
        <v>428</v>
      </c>
      <c r="C10" s="5" t="s">
        <v>429</v>
      </c>
      <c r="D10" s="5" t="s">
        <v>430</v>
      </c>
      <c r="E10" s="5" t="s">
        <v>38</v>
      </c>
      <c r="F10" s="5" t="s">
        <v>46</v>
      </c>
      <c r="G10" s="5" t="s">
        <v>466</v>
      </c>
      <c r="H10" s="5" t="s">
        <v>110</v>
      </c>
      <c r="I10" s="7" t="n">
        <v>1</v>
      </c>
      <c r="J10" s="5" t="s">
        <v>106</v>
      </c>
      <c r="K10" s="6" t="s">
        <v>107</v>
      </c>
      <c r="L10" s="5" t="s">
        <v>106</v>
      </c>
      <c r="M10" s="5"/>
      <c r="N10" s="5" t="s">
        <v>467</v>
      </c>
      <c r="O10" s="5" t="s">
        <v>468</v>
      </c>
      <c r="P10" s="10" t="str">
        <f aca="false">IFERROR(IF(INDEX('Parts to price'!$M$2:$M$92,MATCH(J10,'Parts to price'!$A$2:$A$92,0))="","",INDEX('Parts to price'!$M$2:$M$92,MATCH(J10,'Parts to price'!$A$2:$A$92,0))),"")</f>
        <v/>
      </c>
      <c r="Q10" s="10" t="str">
        <f aca="false">IF(P10="","",P10*I10)</f>
        <v/>
      </c>
      <c r="R10" s="6" t="s">
        <v>469</v>
      </c>
    </row>
    <row r="11" customFormat="false" ht="46.25" hidden="false" customHeight="false" outlineLevel="0" collapsed="false">
      <c r="A11" s="5" t="s">
        <v>470</v>
      </c>
      <c r="B11" s="5" t="s">
        <v>454</v>
      </c>
      <c r="C11" s="5" t="s">
        <v>455</v>
      </c>
      <c r="D11" s="5" t="s">
        <v>430</v>
      </c>
      <c r="E11" s="5" t="s">
        <v>38</v>
      </c>
      <c r="F11" s="5" t="s">
        <v>81</v>
      </c>
      <c r="G11" s="5" t="s">
        <v>466</v>
      </c>
      <c r="H11" s="5" t="s">
        <v>110</v>
      </c>
      <c r="I11" s="7" t="n">
        <v>1</v>
      </c>
      <c r="J11" s="5" t="s">
        <v>106</v>
      </c>
      <c r="K11" s="6" t="s">
        <v>107</v>
      </c>
      <c r="L11" s="5" t="s">
        <v>106</v>
      </c>
      <c r="M11" s="5"/>
      <c r="N11" s="5"/>
      <c r="O11" s="5"/>
      <c r="P11" s="10" t="str">
        <f aca="false">IFERROR(IF(INDEX('Parts to price'!$M$2:$M$92,MATCH(J11,'Parts to price'!$A$2:$A$92,0))="","",INDEX('Parts to price'!$M$2:$M$92,MATCH(J11,'Parts to price'!$A$2:$A$92,0))),"")</f>
        <v/>
      </c>
      <c r="Q11" s="10" t="str">
        <f aca="false">IF(P11="","",P11*I11)</f>
        <v/>
      </c>
      <c r="R11" s="6" t="s">
        <v>471</v>
      </c>
    </row>
    <row r="12" customFormat="false" ht="79.85" hidden="false" customHeight="false" outlineLevel="0" collapsed="false">
      <c r="A12" s="5" t="s">
        <v>168</v>
      </c>
      <c r="B12" s="5" t="s">
        <v>454</v>
      </c>
      <c r="C12" s="5" t="s">
        <v>455</v>
      </c>
      <c r="D12" s="5" t="s">
        <v>430</v>
      </c>
      <c r="E12" s="5" t="s">
        <v>38</v>
      </c>
      <c r="F12" s="5" t="s">
        <v>46</v>
      </c>
      <c r="G12" s="5" t="s">
        <v>472</v>
      </c>
      <c r="H12" s="5" t="s">
        <v>167</v>
      </c>
      <c r="I12" s="7" t="n">
        <v>1</v>
      </c>
      <c r="J12" s="5" t="s">
        <v>165</v>
      </c>
      <c r="K12" s="6" t="s">
        <v>166</v>
      </c>
      <c r="L12" s="5" t="s">
        <v>165</v>
      </c>
      <c r="M12" s="5" t="s">
        <v>473</v>
      </c>
      <c r="N12" s="5" t="s">
        <v>474</v>
      </c>
      <c r="O12" s="5" t="s">
        <v>475</v>
      </c>
      <c r="P12" s="10" t="str">
        <f aca="false">IFERROR(IF(INDEX('Parts to price'!$M$2:$M$92,MATCH(J12,'Parts to price'!$A$2:$A$92,0))="","",INDEX('Parts to price'!$M$2:$M$92,MATCH(J12,'Parts to price'!$A$2:$A$92,0))),"")</f>
        <v/>
      </c>
      <c r="Q12" s="10" t="str">
        <f aca="false">IF(P12="","",P12*I12)</f>
        <v/>
      </c>
      <c r="R12" s="6" t="s">
        <v>476</v>
      </c>
    </row>
    <row r="13" customFormat="false" ht="91" hidden="false" customHeight="false" outlineLevel="0" collapsed="false">
      <c r="A13" s="5" t="s">
        <v>172</v>
      </c>
      <c r="B13" s="5" t="s">
        <v>428</v>
      </c>
      <c r="C13" s="5" t="s">
        <v>429</v>
      </c>
      <c r="D13" s="5" t="s">
        <v>477</v>
      </c>
      <c r="E13" s="5" t="s">
        <v>38</v>
      </c>
      <c r="F13" s="5" t="s">
        <v>171</v>
      </c>
      <c r="G13" s="5" t="s">
        <v>478</v>
      </c>
      <c r="H13" s="5" t="s">
        <v>39</v>
      </c>
      <c r="I13" s="7" t="n">
        <v>1</v>
      </c>
      <c r="J13" s="5" t="s">
        <v>169</v>
      </c>
      <c r="K13" s="6" t="s">
        <v>170</v>
      </c>
      <c r="L13" s="5" t="s">
        <v>169</v>
      </c>
      <c r="M13" s="5"/>
      <c r="N13" s="5"/>
      <c r="O13" s="5"/>
      <c r="P13" s="10" t="str">
        <f aca="false">IFERROR(IF(INDEX('Parts to price'!$M$2:$M$92,MATCH(J13,'Parts to price'!$A$2:$A$92,0))="","",INDEX('Parts to price'!$M$2:$M$92,MATCH(J13,'Parts to price'!$A$2:$A$92,0))),"")</f>
        <v/>
      </c>
      <c r="Q13" s="10" t="str">
        <f aca="false">IF(P13="","",P13*I13)</f>
        <v/>
      </c>
      <c r="R13" s="6" t="s">
        <v>479</v>
      </c>
    </row>
    <row r="14" customFormat="false" ht="79.85" hidden="false" customHeight="false" outlineLevel="0" collapsed="false">
      <c r="A14" s="5" t="s">
        <v>175</v>
      </c>
      <c r="B14" s="5" t="s">
        <v>454</v>
      </c>
      <c r="C14" s="5" t="s">
        <v>455</v>
      </c>
      <c r="D14" s="5" t="s">
        <v>430</v>
      </c>
      <c r="E14" s="5" t="s">
        <v>38</v>
      </c>
      <c r="F14" s="5" t="s">
        <v>46</v>
      </c>
      <c r="G14" s="5" t="s">
        <v>480</v>
      </c>
      <c r="H14" s="5" t="s">
        <v>110</v>
      </c>
      <c r="I14" s="7" t="n">
        <v>1</v>
      </c>
      <c r="J14" s="5" t="s">
        <v>173</v>
      </c>
      <c r="K14" s="6" t="s">
        <v>174</v>
      </c>
      <c r="L14" s="5" t="s">
        <v>173</v>
      </c>
      <c r="M14" s="5"/>
      <c r="N14" s="5" t="s">
        <v>481</v>
      </c>
      <c r="O14" s="5" t="s">
        <v>482</v>
      </c>
      <c r="P14" s="10" t="str">
        <f aca="false">IFERROR(IF(INDEX('Parts to price'!$M$2:$M$92,MATCH(J14,'Parts to price'!$A$2:$A$92,0))="","",INDEX('Parts to price'!$M$2:$M$92,MATCH(J14,'Parts to price'!$A$2:$A$92,0))),"")</f>
        <v/>
      </c>
      <c r="Q14" s="10" t="str">
        <f aca="false">IF(P14="","",P14*I14)</f>
        <v/>
      </c>
      <c r="R14" s="6" t="s">
        <v>483</v>
      </c>
    </row>
    <row r="15" customFormat="false" ht="79.85" hidden="false" customHeight="false" outlineLevel="0" collapsed="false">
      <c r="A15" s="5" t="s">
        <v>484</v>
      </c>
      <c r="B15" s="5" t="s">
        <v>428</v>
      </c>
      <c r="C15" s="5" t="s">
        <v>429</v>
      </c>
      <c r="D15" s="5" t="s">
        <v>430</v>
      </c>
      <c r="E15" s="5" t="s">
        <v>38</v>
      </c>
      <c r="F15" s="5" t="s">
        <v>46</v>
      </c>
      <c r="G15" s="5" t="s">
        <v>485</v>
      </c>
      <c r="H15" s="5" t="s">
        <v>64</v>
      </c>
      <c r="I15" s="7" t="n">
        <v>1</v>
      </c>
      <c r="J15" s="5" t="s">
        <v>61</v>
      </c>
      <c r="K15" s="6" t="s">
        <v>62</v>
      </c>
      <c r="L15" s="5" t="s">
        <v>61</v>
      </c>
      <c r="M15" s="5"/>
      <c r="N15" s="5" t="s">
        <v>486</v>
      </c>
      <c r="O15" s="5" t="s">
        <v>487</v>
      </c>
      <c r="P15" s="10" t="str">
        <f aca="false">IFERROR(IF(INDEX('Parts to price'!$M$2:$M$92,MATCH(J15,'Parts to price'!$A$2:$A$92,0))="","",INDEX('Parts to price'!$M$2:$M$92,MATCH(J15,'Parts to price'!$A$2:$A$92,0))),"")</f>
        <v/>
      </c>
      <c r="Q15" s="10" t="str">
        <f aca="false">IF(P15="","",P15*I15)</f>
        <v/>
      </c>
      <c r="R15" s="6" t="s">
        <v>488</v>
      </c>
    </row>
    <row r="16" customFormat="false" ht="79.85" hidden="false" customHeight="false" outlineLevel="0" collapsed="false">
      <c r="A16" s="5" t="s">
        <v>489</v>
      </c>
      <c r="B16" s="5" t="s">
        <v>428</v>
      </c>
      <c r="C16" s="5" t="s">
        <v>429</v>
      </c>
      <c r="D16" s="5" t="s">
        <v>430</v>
      </c>
      <c r="E16" s="5" t="s">
        <v>38</v>
      </c>
      <c r="F16" s="5" t="s">
        <v>46</v>
      </c>
      <c r="G16" s="5" t="s">
        <v>485</v>
      </c>
      <c r="H16" s="5" t="s">
        <v>64</v>
      </c>
      <c r="I16" s="7" t="n">
        <v>1</v>
      </c>
      <c r="J16" s="5" t="s">
        <v>61</v>
      </c>
      <c r="K16" s="6" t="s">
        <v>62</v>
      </c>
      <c r="L16" s="5" t="s">
        <v>61</v>
      </c>
      <c r="M16" s="5" t="s">
        <v>490</v>
      </c>
      <c r="N16" s="5" t="s">
        <v>491</v>
      </c>
      <c r="O16" s="5" t="s">
        <v>492</v>
      </c>
      <c r="P16" s="10" t="str">
        <f aca="false">IFERROR(IF(INDEX('Parts to price'!$M$2:$M$92,MATCH(J16,'Parts to price'!$A$2:$A$92,0))="","",INDEX('Parts to price'!$M$2:$M$92,MATCH(J16,'Parts to price'!$A$2:$A$92,0))),"")</f>
        <v/>
      </c>
      <c r="Q16" s="10" t="str">
        <f aca="false">IF(P16="","",P16*I16)</f>
        <v/>
      </c>
      <c r="R16" s="6" t="s">
        <v>493</v>
      </c>
    </row>
    <row r="17" customFormat="false" ht="57.45" hidden="false" customHeight="false" outlineLevel="0" collapsed="false">
      <c r="A17" s="5" t="s">
        <v>494</v>
      </c>
      <c r="B17" s="5" t="s">
        <v>454</v>
      </c>
      <c r="C17" s="5" t="s">
        <v>455</v>
      </c>
      <c r="D17" s="5" t="s">
        <v>430</v>
      </c>
      <c r="E17" s="5" t="s">
        <v>38</v>
      </c>
      <c r="F17" s="5" t="s">
        <v>46</v>
      </c>
      <c r="G17" s="5" t="s">
        <v>495</v>
      </c>
      <c r="H17" s="5" t="s">
        <v>65</v>
      </c>
      <c r="I17" s="7" t="n">
        <v>1</v>
      </c>
      <c r="J17" s="5" t="s">
        <v>61</v>
      </c>
      <c r="K17" s="6" t="s">
        <v>496</v>
      </c>
      <c r="L17" s="5" t="s">
        <v>61</v>
      </c>
      <c r="M17" s="5"/>
      <c r="N17" s="5" t="s">
        <v>497</v>
      </c>
      <c r="O17" s="5" t="s">
        <v>487</v>
      </c>
      <c r="P17" s="10" t="str">
        <f aca="false">IFERROR(IF(INDEX('Parts to price'!$M$2:$M$92,MATCH(J17,'Parts to price'!$A$2:$A$92,0))="","",INDEX('Parts to price'!$M$2:$M$92,MATCH(J17,'Parts to price'!$A$2:$A$92,0))),"")</f>
        <v/>
      </c>
      <c r="Q17" s="10" t="str">
        <f aca="false">IF(P17="","",P17*I17)</f>
        <v/>
      </c>
      <c r="R17" s="6" t="s">
        <v>498</v>
      </c>
    </row>
    <row r="18" customFormat="false" ht="57.45" hidden="false" customHeight="false" outlineLevel="0" collapsed="false">
      <c r="A18" s="5" t="s">
        <v>178</v>
      </c>
      <c r="B18" s="5" t="s">
        <v>454</v>
      </c>
      <c r="C18" s="5" t="s">
        <v>455</v>
      </c>
      <c r="D18" s="5" t="s">
        <v>430</v>
      </c>
      <c r="E18" s="5" t="s">
        <v>38</v>
      </c>
      <c r="F18" s="5" t="s">
        <v>46</v>
      </c>
      <c r="G18" s="5" t="s">
        <v>480</v>
      </c>
      <c r="H18" s="5" t="s">
        <v>120</v>
      </c>
      <c r="I18" s="7" t="n">
        <v>1</v>
      </c>
      <c r="J18" s="5" t="s">
        <v>176</v>
      </c>
      <c r="K18" s="6" t="s">
        <v>177</v>
      </c>
      <c r="L18" s="5" t="s">
        <v>176</v>
      </c>
      <c r="M18" s="5"/>
      <c r="N18" s="5" t="s">
        <v>499</v>
      </c>
      <c r="O18" s="5" t="s">
        <v>500</v>
      </c>
      <c r="P18" s="10" t="str">
        <f aca="false">IFERROR(IF(INDEX('Parts to price'!$M$2:$M$92,MATCH(J18,'Parts to price'!$A$2:$A$92,0))="","",INDEX('Parts to price'!$M$2:$M$92,MATCH(J18,'Parts to price'!$A$2:$A$92,0))),"")</f>
        <v/>
      </c>
      <c r="Q18" s="10" t="str">
        <f aca="false">IF(P18="","",P18*I18)</f>
        <v/>
      </c>
      <c r="R18" s="6" t="s">
        <v>501</v>
      </c>
    </row>
    <row r="19" customFormat="false" ht="79.85" hidden="false" customHeight="false" outlineLevel="0" collapsed="false">
      <c r="A19" s="5" t="s">
        <v>182</v>
      </c>
      <c r="B19" s="5" t="s">
        <v>428</v>
      </c>
      <c r="C19" s="5" t="s">
        <v>429</v>
      </c>
      <c r="D19" s="5" t="s">
        <v>430</v>
      </c>
      <c r="E19" s="5" t="s">
        <v>38</v>
      </c>
      <c r="F19" s="5" t="s">
        <v>46</v>
      </c>
      <c r="G19" s="5" t="s">
        <v>472</v>
      </c>
      <c r="H19" s="5" t="s">
        <v>181</v>
      </c>
      <c r="I19" s="7" t="n">
        <v>1</v>
      </c>
      <c r="J19" s="5" t="s">
        <v>179</v>
      </c>
      <c r="K19" s="6" t="s">
        <v>180</v>
      </c>
      <c r="L19" s="5" t="s">
        <v>179</v>
      </c>
      <c r="M19" s="5" t="s">
        <v>502</v>
      </c>
      <c r="N19" s="5" t="s">
        <v>503</v>
      </c>
      <c r="O19" s="5" t="s">
        <v>504</v>
      </c>
      <c r="P19" s="10" t="str">
        <f aca="false">IFERROR(IF(INDEX('Parts to price'!$M$2:$M$92,MATCH(J19,'Parts to price'!$A$2:$A$92,0))="","",INDEX('Parts to price'!$M$2:$M$92,MATCH(J19,'Parts to price'!$A$2:$A$92,0))),"")</f>
        <v/>
      </c>
      <c r="Q19" s="10" t="str">
        <f aca="false">IF(P19="","",P19*I19)</f>
        <v/>
      </c>
      <c r="R19" s="6" t="s">
        <v>505</v>
      </c>
    </row>
    <row r="20" customFormat="false" ht="79.85" hidden="false" customHeight="false" outlineLevel="0" collapsed="false">
      <c r="A20" s="5" t="s">
        <v>185</v>
      </c>
      <c r="B20" s="5" t="s">
        <v>454</v>
      </c>
      <c r="C20" s="5" t="s">
        <v>455</v>
      </c>
      <c r="D20" s="5" t="s">
        <v>430</v>
      </c>
      <c r="E20" s="5" t="s">
        <v>38</v>
      </c>
      <c r="F20" s="5" t="s">
        <v>46</v>
      </c>
      <c r="G20" s="5" t="s">
        <v>506</v>
      </c>
      <c r="H20" s="5" t="s">
        <v>128</v>
      </c>
      <c r="I20" s="7" t="n">
        <v>1</v>
      </c>
      <c r="J20" s="5" t="s">
        <v>183</v>
      </c>
      <c r="K20" s="6" t="s">
        <v>184</v>
      </c>
      <c r="L20" s="5" t="s">
        <v>183</v>
      </c>
      <c r="M20" s="5"/>
      <c r="N20" s="5" t="s">
        <v>507</v>
      </c>
      <c r="O20" s="5" t="s">
        <v>508</v>
      </c>
      <c r="P20" s="10" t="str">
        <f aca="false">IFERROR(IF(INDEX('Parts to price'!$M$2:$M$92,MATCH(J20,'Parts to price'!$A$2:$A$92,0))="","",INDEX('Parts to price'!$M$2:$M$92,MATCH(J20,'Parts to price'!$A$2:$A$92,0))),"")</f>
        <v/>
      </c>
      <c r="Q20" s="10" t="str">
        <f aca="false">IF(P20="","",P20*I20)</f>
        <v/>
      </c>
      <c r="R20" s="6" t="s">
        <v>509</v>
      </c>
    </row>
    <row r="21" customFormat="false" ht="79.85" hidden="false" customHeight="false" outlineLevel="0" collapsed="false">
      <c r="A21" s="5" t="s">
        <v>510</v>
      </c>
      <c r="B21" s="5" t="s">
        <v>511</v>
      </c>
      <c r="C21" s="5" t="s">
        <v>512</v>
      </c>
      <c r="D21" s="5" t="s">
        <v>430</v>
      </c>
      <c r="E21" s="5" t="s">
        <v>71</v>
      </c>
      <c r="F21" s="5" t="s">
        <v>143</v>
      </c>
      <c r="G21" s="5" t="s">
        <v>513</v>
      </c>
      <c r="H21" s="5" t="s">
        <v>72</v>
      </c>
      <c r="I21" s="7" t="n">
        <v>1</v>
      </c>
      <c r="J21" s="5" t="s">
        <v>67</v>
      </c>
      <c r="K21" s="6" t="s">
        <v>68</v>
      </c>
      <c r="L21" s="5" t="s">
        <v>67</v>
      </c>
      <c r="M21" s="5"/>
      <c r="N21" s="5" t="s">
        <v>514</v>
      </c>
      <c r="O21" s="5" t="s">
        <v>515</v>
      </c>
      <c r="P21" s="10" t="str">
        <f aca="false">IFERROR(IF(INDEX('Parts to price'!$M$2:$M$92,MATCH(J21,'Parts to price'!$A$2:$A$92,0))="","",INDEX('Parts to price'!$M$2:$M$92,MATCH(J21,'Parts to price'!$A$2:$A$92,0))),"")</f>
        <v/>
      </c>
      <c r="Q21" s="10" t="str">
        <f aca="false">IF(P21="","",P21*I21)</f>
        <v/>
      </c>
      <c r="R21" s="6" t="s">
        <v>516</v>
      </c>
    </row>
    <row r="22" customFormat="false" ht="57.45" hidden="false" customHeight="false" outlineLevel="0" collapsed="false">
      <c r="A22" s="5" t="s">
        <v>517</v>
      </c>
      <c r="B22" s="5" t="s">
        <v>511</v>
      </c>
      <c r="C22" s="5" t="s">
        <v>512</v>
      </c>
      <c r="D22" s="5" t="s">
        <v>430</v>
      </c>
      <c r="E22" s="5" t="s">
        <v>71</v>
      </c>
      <c r="F22" s="5" t="s">
        <v>81</v>
      </c>
      <c r="G22" s="5" t="s">
        <v>518</v>
      </c>
      <c r="H22" s="5" t="s">
        <v>519</v>
      </c>
      <c r="I22" s="7" t="n">
        <v>1</v>
      </c>
      <c r="J22" s="5" t="s">
        <v>67</v>
      </c>
      <c r="K22" s="6" t="s">
        <v>68</v>
      </c>
      <c r="L22" s="5" t="s">
        <v>67</v>
      </c>
      <c r="M22" s="5"/>
      <c r="N22" s="5"/>
      <c r="O22" s="5"/>
      <c r="P22" s="10" t="str">
        <f aca="false">IFERROR(IF(INDEX('Parts to price'!$M$2:$M$92,MATCH(J22,'Parts to price'!$A$2:$A$92,0))="","",INDEX('Parts to price'!$M$2:$M$92,MATCH(J22,'Parts to price'!$A$2:$A$92,0))),"")</f>
        <v/>
      </c>
      <c r="Q22" s="10" t="str">
        <f aca="false">IF(P22="","",P22*I22)</f>
        <v/>
      </c>
      <c r="R22" s="6" t="s">
        <v>520</v>
      </c>
    </row>
    <row r="23" customFormat="false" ht="79.85" hidden="false" customHeight="false" outlineLevel="0" collapsed="false">
      <c r="A23" s="5" t="s">
        <v>521</v>
      </c>
      <c r="B23" s="5" t="s">
        <v>511</v>
      </c>
      <c r="C23" s="5" t="s">
        <v>512</v>
      </c>
      <c r="D23" s="5" t="s">
        <v>430</v>
      </c>
      <c r="E23" s="5" t="s">
        <v>71</v>
      </c>
      <c r="F23" s="5" t="s">
        <v>143</v>
      </c>
      <c r="G23" s="5" t="s">
        <v>522</v>
      </c>
      <c r="H23" s="5" t="s">
        <v>73</v>
      </c>
      <c r="I23" s="7" t="n">
        <v>1</v>
      </c>
      <c r="J23" s="5" t="s">
        <v>67</v>
      </c>
      <c r="K23" s="6" t="s">
        <v>523</v>
      </c>
      <c r="L23" s="5" t="s">
        <v>67</v>
      </c>
      <c r="M23" s="5"/>
      <c r="N23" s="5" t="s">
        <v>514</v>
      </c>
      <c r="O23" s="5" t="s">
        <v>515</v>
      </c>
      <c r="P23" s="10" t="str">
        <f aca="false">IFERROR(IF(INDEX('Parts to price'!$M$2:$M$92,MATCH(J23,'Parts to price'!$A$2:$A$92,0))="","",INDEX('Parts to price'!$M$2:$M$92,MATCH(J23,'Parts to price'!$A$2:$A$92,0))),"")</f>
        <v/>
      </c>
      <c r="Q23" s="10" t="str">
        <f aca="false">IF(P23="","",P23*I23)</f>
        <v/>
      </c>
      <c r="R23" s="6" t="s">
        <v>524</v>
      </c>
    </row>
    <row r="24" customFormat="false" ht="79.85" hidden="false" customHeight="false" outlineLevel="0" collapsed="false">
      <c r="A24" s="5" t="s">
        <v>189</v>
      </c>
      <c r="B24" s="5" t="s">
        <v>454</v>
      </c>
      <c r="C24" s="5" t="s">
        <v>455</v>
      </c>
      <c r="D24" s="5" t="s">
        <v>430</v>
      </c>
      <c r="E24" s="5" t="s">
        <v>38</v>
      </c>
      <c r="F24" s="5" t="s">
        <v>46</v>
      </c>
      <c r="G24" s="5" t="s">
        <v>525</v>
      </c>
      <c r="H24" s="5" t="s">
        <v>188</v>
      </c>
      <c r="I24" s="7" t="n">
        <v>1</v>
      </c>
      <c r="J24" s="5" t="s">
        <v>186</v>
      </c>
      <c r="K24" s="6" t="s">
        <v>187</v>
      </c>
      <c r="L24" s="5" t="s">
        <v>186</v>
      </c>
      <c r="M24" s="5"/>
      <c r="N24" s="5" t="s">
        <v>526</v>
      </c>
      <c r="O24" s="5" t="s">
        <v>527</v>
      </c>
      <c r="P24" s="10" t="str">
        <f aca="false">IFERROR(IF(INDEX('Parts to price'!$M$2:$M$92,MATCH(J24,'Parts to price'!$A$2:$A$92,0))="","",INDEX('Parts to price'!$M$2:$M$92,MATCH(J24,'Parts to price'!$A$2:$A$92,0))),"")</f>
        <v/>
      </c>
      <c r="Q24" s="10" t="str">
        <f aca="false">IF(P24="","",P24*I24)</f>
        <v/>
      </c>
      <c r="R24" s="6" t="s">
        <v>528</v>
      </c>
    </row>
    <row r="25" customFormat="false" ht="68.65" hidden="false" customHeight="false" outlineLevel="0" collapsed="false">
      <c r="A25" s="5" t="s">
        <v>529</v>
      </c>
      <c r="B25" s="5" t="s">
        <v>428</v>
      </c>
      <c r="C25" s="5" t="s">
        <v>429</v>
      </c>
      <c r="D25" s="5" t="s">
        <v>430</v>
      </c>
      <c r="E25" s="5" t="s">
        <v>38</v>
      </c>
      <c r="F25" s="5" t="s">
        <v>46</v>
      </c>
      <c r="G25" s="5" t="s">
        <v>480</v>
      </c>
      <c r="H25" s="5" t="s">
        <v>77</v>
      </c>
      <c r="I25" s="7" t="n">
        <v>1</v>
      </c>
      <c r="J25" s="5" t="s">
        <v>75</v>
      </c>
      <c r="K25" s="6" t="s">
        <v>113</v>
      </c>
      <c r="L25" s="5" t="s">
        <v>75</v>
      </c>
      <c r="M25" s="5"/>
      <c r="N25" s="5" t="s">
        <v>530</v>
      </c>
      <c r="O25" s="5" t="s">
        <v>531</v>
      </c>
      <c r="P25" s="10" t="str">
        <f aca="false">IFERROR(IF(INDEX('Parts to price'!$M$2:$M$92,MATCH(J25,'Parts to price'!$A$2:$A$92,0))="","",INDEX('Parts to price'!$M$2:$M$92,MATCH(J25,'Parts to price'!$A$2:$A$92,0))),"")</f>
        <v/>
      </c>
      <c r="Q25" s="10" t="str">
        <f aca="false">IF(P25="","",P25*I25)</f>
        <v/>
      </c>
      <c r="R25" s="6" t="s">
        <v>532</v>
      </c>
    </row>
    <row r="26" customFormat="false" ht="79.85" hidden="false" customHeight="false" outlineLevel="0" collapsed="false">
      <c r="A26" s="5" t="s">
        <v>533</v>
      </c>
      <c r="B26" s="5" t="s">
        <v>428</v>
      </c>
      <c r="C26" s="5" t="s">
        <v>429</v>
      </c>
      <c r="D26" s="5" t="s">
        <v>430</v>
      </c>
      <c r="E26" s="5" t="s">
        <v>38</v>
      </c>
      <c r="F26" s="5" t="s">
        <v>46</v>
      </c>
      <c r="G26" s="5" t="s">
        <v>431</v>
      </c>
      <c r="H26" s="5" t="s">
        <v>78</v>
      </c>
      <c r="I26" s="7" t="n">
        <v>1</v>
      </c>
      <c r="J26" s="5" t="s">
        <v>75</v>
      </c>
      <c r="K26" s="6" t="s">
        <v>76</v>
      </c>
      <c r="L26" s="5" t="s">
        <v>75</v>
      </c>
      <c r="M26" s="5"/>
      <c r="N26" s="5" t="s">
        <v>530</v>
      </c>
      <c r="O26" s="5" t="s">
        <v>531</v>
      </c>
      <c r="P26" s="10" t="str">
        <f aca="false">IFERROR(IF(INDEX('Parts to price'!$M$2:$M$92,MATCH(J26,'Parts to price'!$A$2:$A$92,0))="","",INDEX('Parts to price'!$M$2:$M$92,MATCH(J26,'Parts to price'!$A$2:$A$92,0))),"")</f>
        <v/>
      </c>
      <c r="Q26" s="10" t="str">
        <f aca="false">IF(P26="","",P26*I26)</f>
        <v/>
      </c>
      <c r="R26" s="6" t="s">
        <v>534</v>
      </c>
    </row>
    <row r="27" customFormat="false" ht="79.85" hidden="false" customHeight="false" outlineLevel="0" collapsed="false">
      <c r="A27" s="5" t="s">
        <v>535</v>
      </c>
      <c r="B27" s="5" t="s">
        <v>428</v>
      </c>
      <c r="C27" s="5" t="s">
        <v>429</v>
      </c>
      <c r="D27" s="5" t="s">
        <v>430</v>
      </c>
      <c r="E27" s="5" t="s">
        <v>38</v>
      </c>
      <c r="F27" s="5" t="s">
        <v>46</v>
      </c>
      <c r="G27" s="5" t="s">
        <v>431</v>
      </c>
      <c r="H27" s="5" t="s">
        <v>78</v>
      </c>
      <c r="I27" s="7" t="n">
        <v>1</v>
      </c>
      <c r="J27" s="5" t="s">
        <v>75</v>
      </c>
      <c r="K27" s="6" t="s">
        <v>76</v>
      </c>
      <c r="L27" s="5" t="s">
        <v>75</v>
      </c>
      <c r="M27" s="5"/>
      <c r="N27" s="5" t="s">
        <v>536</v>
      </c>
      <c r="O27" s="5" t="s">
        <v>537</v>
      </c>
      <c r="P27" s="10" t="str">
        <f aca="false">IFERROR(IF(INDEX('Parts to price'!$M$2:$M$92,MATCH(J27,'Parts to price'!$A$2:$A$92,0))="","",INDEX('Parts to price'!$M$2:$M$92,MATCH(J27,'Parts to price'!$A$2:$A$92,0))),"")</f>
        <v/>
      </c>
      <c r="Q27" s="10" t="str">
        <f aca="false">IF(P27="","",P27*I27)</f>
        <v/>
      </c>
      <c r="R27" s="6" t="s">
        <v>538</v>
      </c>
    </row>
    <row r="28" customFormat="false" ht="79.85" hidden="false" customHeight="false" outlineLevel="0" collapsed="false">
      <c r="A28" s="5" t="s">
        <v>539</v>
      </c>
      <c r="B28" s="5" t="s">
        <v>454</v>
      </c>
      <c r="C28" s="5" t="s">
        <v>455</v>
      </c>
      <c r="D28" s="5" t="s">
        <v>430</v>
      </c>
      <c r="E28" s="5" t="s">
        <v>38</v>
      </c>
      <c r="F28" s="5" t="s">
        <v>46</v>
      </c>
      <c r="G28" s="5" t="s">
        <v>480</v>
      </c>
      <c r="H28" s="5" t="s">
        <v>115</v>
      </c>
      <c r="I28" s="7" t="n">
        <v>1</v>
      </c>
      <c r="J28" s="5" t="s">
        <v>112</v>
      </c>
      <c r="K28" s="6" t="s">
        <v>113</v>
      </c>
      <c r="L28" s="5" t="s">
        <v>112</v>
      </c>
      <c r="M28" s="5"/>
      <c r="N28" s="5" t="s">
        <v>530</v>
      </c>
      <c r="O28" s="5" t="s">
        <v>531</v>
      </c>
      <c r="P28" s="10" t="str">
        <f aca="false">IFERROR(IF(INDEX('Parts to price'!$M$2:$M$92,MATCH(J28,'Parts to price'!$A$2:$A$92,0))="","",INDEX('Parts to price'!$M$2:$M$92,MATCH(J28,'Parts to price'!$A$2:$A$92,0))),"")</f>
        <v/>
      </c>
      <c r="Q28" s="10" t="str">
        <f aca="false">IF(P28="","",P28*I28)</f>
        <v/>
      </c>
      <c r="R28" s="6" t="s">
        <v>540</v>
      </c>
    </row>
    <row r="29" customFormat="false" ht="46.25" hidden="false" customHeight="false" outlineLevel="0" collapsed="false">
      <c r="A29" s="5" t="s">
        <v>541</v>
      </c>
      <c r="B29" s="5" t="s">
        <v>428</v>
      </c>
      <c r="C29" s="5" t="s">
        <v>429</v>
      </c>
      <c r="D29" s="5" t="s">
        <v>430</v>
      </c>
      <c r="E29" s="5" t="s">
        <v>38</v>
      </c>
      <c r="F29" s="5" t="s">
        <v>46</v>
      </c>
      <c r="G29" s="5" t="s">
        <v>542</v>
      </c>
      <c r="H29" s="5" t="s">
        <v>88</v>
      </c>
      <c r="I29" s="7" t="n">
        <v>1</v>
      </c>
      <c r="J29" s="5" t="s">
        <v>112</v>
      </c>
      <c r="K29" s="6" t="s">
        <v>543</v>
      </c>
      <c r="L29" s="5" t="s">
        <v>112</v>
      </c>
      <c r="M29" s="5" t="s">
        <v>544</v>
      </c>
      <c r="N29" s="5" t="s">
        <v>530</v>
      </c>
      <c r="O29" s="5" t="s">
        <v>531</v>
      </c>
      <c r="P29" s="10" t="str">
        <f aca="false">IFERROR(IF(INDEX('Parts to price'!$M$2:$M$92,MATCH(J29,'Parts to price'!$A$2:$A$92,0))="","",INDEX('Parts to price'!$M$2:$M$92,MATCH(J29,'Parts to price'!$A$2:$A$92,0))),"")</f>
        <v/>
      </c>
      <c r="Q29" s="10" t="str">
        <f aca="false">IF(P29="","",P29*I29)</f>
        <v/>
      </c>
      <c r="R29" s="6" t="s">
        <v>545</v>
      </c>
    </row>
    <row r="30" customFormat="false" ht="57.45" hidden="false" customHeight="false" outlineLevel="0" collapsed="false">
      <c r="A30" s="5" t="s">
        <v>193</v>
      </c>
      <c r="B30" s="5" t="s">
        <v>428</v>
      </c>
      <c r="C30" s="5" t="s">
        <v>429</v>
      </c>
      <c r="D30" s="5" t="s">
        <v>430</v>
      </c>
      <c r="E30" s="5" t="s">
        <v>71</v>
      </c>
      <c r="F30" s="5" t="s">
        <v>143</v>
      </c>
      <c r="G30" s="5" t="s">
        <v>546</v>
      </c>
      <c r="H30" s="5" t="s">
        <v>192</v>
      </c>
      <c r="I30" s="7" t="n">
        <v>1</v>
      </c>
      <c r="J30" s="5" t="s">
        <v>190</v>
      </c>
      <c r="K30" s="6" t="s">
        <v>191</v>
      </c>
      <c r="L30" s="5" t="s">
        <v>190</v>
      </c>
      <c r="M30" s="5" t="s">
        <v>547</v>
      </c>
      <c r="N30" s="5" t="s">
        <v>548</v>
      </c>
      <c r="O30" s="5" t="s">
        <v>549</v>
      </c>
      <c r="P30" s="10" t="str">
        <f aca="false">IFERROR(IF(INDEX('Parts to price'!$M$2:$M$92,MATCH(J30,'Parts to price'!$A$2:$A$92,0))="","",INDEX('Parts to price'!$M$2:$M$92,MATCH(J30,'Parts to price'!$A$2:$A$92,0))),"")</f>
        <v/>
      </c>
      <c r="Q30" s="10" t="str">
        <f aca="false">IF(P30="","",P30*I30)</f>
        <v/>
      </c>
      <c r="R30" s="6" t="s">
        <v>550</v>
      </c>
    </row>
    <row r="31" customFormat="false" ht="68.65" hidden="false" customHeight="false" outlineLevel="0" collapsed="false">
      <c r="A31" s="5" t="s">
        <v>551</v>
      </c>
      <c r="B31" s="5" t="s">
        <v>511</v>
      </c>
      <c r="C31" s="5" t="s">
        <v>512</v>
      </c>
      <c r="D31" s="5" t="s">
        <v>430</v>
      </c>
      <c r="E31" s="5" t="s">
        <v>71</v>
      </c>
      <c r="F31" s="5" t="s">
        <v>81</v>
      </c>
      <c r="G31" s="5" t="s">
        <v>552</v>
      </c>
      <c r="H31" s="5" t="s">
        <v>120</v>
      </c>
      <c r="I31" s="7" t="n">
        <v>1</v>
      </c>
      <c r="J31" s="5" t="s">
        <v>117</v>
      </c>
      <c r="K31" s="6" t="s">
        <v>118</v>
      </c>
      <c r="L31" s="5" t="s">
        <v>117</v>
      </c>
      <c r="M31" s="5"/>
      <c r="N31" s="5"/>
      <c r="O31" s="5"/>
      <c r="P31" s="10" t="str">
        <f aca="false">IFERROR(IF(INDEX('Parts to price'!$M$2:$M$92,MATCH(J31,'Parts to price'!$A$2:$A$92,0))="","",INDEX('Parts to price'!$M$2:$M$92,MATCH(J31,'Parts to price'!$A$2:$A$92,0))),"")</f>
        <v/>
      </c>
      <c r="Q31" s="10" t="str">
        <f aca="false">IF(P31="","",P31*I31)</f>
        <v/>
      </c>
      <c r="R31" s="6" t="s">
        <v>553</v>
      </c>
    </row>
    <row r="32" customFormat="false" ht="79.85" hidden="false" customHeight="false" outlineLevel="0" collapsed="false">
      <c r="A32" s="5" t="s">
        <v>554</v>
      </c>
      <c r="B32" s="5" t="s">
        <v>511</v>
      </c>
      <c r="C32" s="5" t="s">
        <v>512</v>
      </c>
      <c r="D32" s="5" t="s">
        <v>430</v>
      </c>
      <c r="E32" s="5" t="s">
        <v>71</v>
      </c>
      <c r="F32" s="5" t="s">
        <v>81</v>
      </c>
      <c r="G32" s="5" t="s">
        <v>555</v>
      </c>
      <c r="H32" s="5" t="s">
        <v>48</v>
      </c>
      <c r="I32" s="7" t="n">
        <v>1</v>
      </c>
      <c r="J32" s="5" t="s">
        <v>117</v>
      </c>
      <c r="K32" s="6" t="s">
        <v>556</v>
      </c>
      <c r="L32" s="5" t="s">
        <v>117</v>
      </c>
      <c r="M32" s="5"/>
      <c r="N32" s="5"/>
      <c r="O32" s="5"/>
      <c r="P32" s="10" t="str">
        <f aca="false">IFERROR(IF(INDEX('Parts to price'!$M$2:$M$92,MATCH(J32,'Parts to price'!$A$2:$A$92,0))="","",INDEX('Parts to price'!$M$2:$M$92,MATCH(J32,'Parts to price'!$A$2:$A$92,0))),"")</f>
        <v/>
      </c>
      <c r="Q32" s="10" t="str">
        <f aca="false">IF(P32="","",P32*I32)</f>
        <v/>
      </c>
      <c r="R32" s="6" t="s">
        <v>557</v>
      </c>
    </row>
    <row r="33" customFormat="false" ht="57.45" hidden="false" customHeight="false" outlineLevel="0" collapsed="false">
      <c r="A33" s="5" t="s">
        <v>558</v>
      </c>
      <c r="B33" s="5" t="s">
        <v>511</v>
      </c>
      <c r="C33" s="5" t="s">
        <v>512</v>
      </c>
      <c r="D33" s="5" t="s">
        <v>430</v>
      </c>
      <c r="E33" s="5" t="s">
        <v>71</v>
      </c>
      <c r="F33" s="5" t="s">
        <v>81</v>
      </c>
      <c r="G33" s="5" t="s">
        <v>559</v>
      </c>
      <c r="H33" s="5" t="s">
        <v>82</v>
      </c>
      <c r="I33" s="7" t="n">
        <v>1</v>
      </c>
      <c r="J33" s="5" t="s">
        <v>80</v>
      </c>
      <c r="K33" s="6" t="s">
        <v>68</v>
      </c>
      <c r="L33" s="5" t="s">
        <v>80</v>
      </c>
      <c r="M33" s="5"/>
      <c r="N33" s="5"/>
      <c r="O33" s="5"/>
      <c r="P33" s="10" t="str">
        <f aca="false">IFERROR(IF(INDEX('Parts to price'!$M$2:$M$92,MATCH(J33,'Parts to price'!$A$2:$A$92,0))="","",INDEX('Parts to price'!$M$2:$M$92,MATCH(J33,'Parts to price'!$A$2:$A$92,0))),"")</f>
        <v/>
      </c>
      <c r="Q33" s="10" t="str">
        <f aca="false">IF(P33="","",P33*I33)</f>
        <v/>
      </c>
      <c r="R33" s="6" t="s">
        <v>560</v>
      </c>
    </row>
    <row r="34" customFormat="false" ht="79.85" hidden="false" customHeight="false" outlineLevel="0" collapsed="false">
      <c r="A34" s="5" t="s">
        <v>561</v>
      </c>
      <c r="B34" s="5" t="s">
        <v>511</v>
      </c>
      <c r="C34" s="5" t="s">
        <v>512</v>
      </c>
      <c r="D34" s="5" t="s">
        <v>430</v>
      </c>
      <c r="E34" s="5" t="s">
        <v>71</v>
      </c>
      <c r="F34" s="5" t="s">
        <v>81</v>
      </c>
      <c r="G34" s="5" t="s">
        <v>562</v>
      </c>
      <c r="H34" s="5" t="s">
        <v>563</v>
      </c>
      <c r="I34" s="7" t="n">
        <v>1</v>
      </c>
      <c r="J34" s="5" t="s">
        <v>80</v>
      </c>
      <c r="K34" s="6" t="s">
        <v>68</v>
      </c>
      <c r="L34" s="5" t="s">
        <v>80</v>
      </c>
      <c r="M34" s="5"/>
      <c r="N34" s="5"/>
      <c r="O34" s="5"/>
      <c r="P34" s="10" t="str">
        <f aca="false">IFERROR(IF(INDEX('Parts to price'!$M$2:$M$92,MATCH(J34,'Parts to price'!$A$2:$A$92,0))="","",INDEX('Parts to price'!$M$2:$M$92,MATCH(J34,'Parts to price'!$A$2:$A$92,0))),"")</f>
        <v/>
      </c>
      <c r="Q34" s="10" t="str">
        <f aca="false">IF(P34="","",P34*I34)</f>
        <v/>
      </c>
      <c r="R34" s="6" t="s">
        <v>564</v>
      </c>
    </row>
    <row r="35" customFormat="false" ht="57.45" hidden="false" customHeight="false" outlineLevel="0" collapsed="false">
      <c r="A35" s="5" t="s">
        <v>565</v>
      </c>
      <c r="B35" s="5" t="s">
        <v>511</v>
      </c>
      <c r="C35" s="5" t="s">
        <v>512</v>
      </c>
      <c r="D35" s="5" t="s">
        <v>430</v>
      </c>
      <c r="E35" s="5" t="s">
        <v>71</v>
      </c>
      <c r="F35" s="5" t="s">
        <v>81</v>
      </c>
      <c r="G35" s="5" t="s">
        <v>566</v>
      </c>
      <c r="H35" s="5" t="s">
        <v>83</v>
      </c>
      <c r="I35" s="7" t="n">
        <v>1</v>
      </c>
      <c r="J35" s="5" t="s">
        <v>80</v>
      </c>
      <c r="K35" s="6" t="s">
        <v>68</v>
      </c>
      <c r="L35" s="5" t="s">
        <v>80</v>
      </c>
      <c r="M35" s="5"/>
      <c r="N35" s="5"/>
      <c r="O35" s="5"/>
      <c r="P35" s="10" t="str">
        <f aca="false">IFERROR(IF(INDEX('Parts to price'!$M$2:$M$92,MATCH(J35,'Parts to price'!$A$2:$A$92,0))="","",INDEX('Parts to price'!$M$2:$M$92,MATCH(J35,'Parts to price'!$A$2:$A$92,0))),"")</f>
        <v/>
      </c>
      <c r="Q35" s="10" t="str">
        <f aca="false">IF(P35="","",P35*I35)</f>
        <v/>
      </c>
      <c r="R35" s="6" t="s">
        <v>567</v>
      </c>
    </row>
    <row r="36" customFormat="false" ht="79.85" hidden="false" customHeight="false" outlineLevel="0" collapsed="false">
      <c r="A36" s="5" t="s">
        <v>568</v>
      </c>
      <c r="B36" s="5" t="s">
        <v>454</v>
      </c>
      <c r="C36" s="5" t="s">
        <v>455</v>
      </c>
      <c r="D36" s="5" t="s">
        <v>430</v>
      </c>
      <c r="E36" s="5" t="s">
        <v>38</v>
      </c>
      <c r="F36" s="5" t="s">
        <v>46</v>
      </c>
      <c r="G36" s="5" t="s">
        <v>447</v>
      </c>
      <c r="H36" s="5" t="s">
        <v>104</v>
      </c>
      <c r="I36" s="7" t="n">
        <v>1</v>
      </c>
      <c r="J36" s="5" t="s">
        <v>103</v>
      </c>
      <c r="K36" s="6" t="s">
        <v>103</v>
      </c>
      <c r="L36" s="5"/>
      <c r="M36" s="5"/>
      <c r="N36" s="5" t="s">
        <v>569</v>
      </c>
      <c r="O36" s="5" t="s">
        <v>570</v>
      </c>
      <c r="P36" s="10" t="str">
        <f aca="false">IFERROR(IF(INDEX('Parts to price'!$M$2:$M$92,MATCH(J36,'Parts to price'!$A$2:$A$92,0))="","",INDEX('Parts to price'!$M$2:$M$92,MATCH(J36,'Parts to price'!$A$2:$A$92,0))),"")</f>
        <v/>
      </c>
      <c r="Q36" s="10" t="str">
        <f aca="false">IF(P36="","",P36*I36)</f>
        <v/>
      </c>
      <c r="R36" s="6" t="s">
        <v>571</v>
      </c>
    </row>
    <row r="37" customFormat="false" ht="46.25" hidden="false" customHeight="false" outlineLevel="0" collapsed="false">
      <c r="A37" s="5" t="s">
        <v>572</v>
      </c>
      <c r="B37" s="5" t="s">
        <v>454</v>
      </c>
      <c r="C37" s="5" t="s">
        <v>455</v>
      </c>
      <c r="D37" s="5" t="s">
        <v>430</v>
      </c>
      <c r="E37" s="5" t="s">
        <v>38</v>
      </c>
      <c r="F37" s="5" t="s">
        <v>46</v>
      </c>
      <c r="G37" s="5" t="s">
        <v>447</v>
      </c>
      <c r="H37" s="5" t="s">
        <v>104</v>
      </c>
      <c r="I37" s="7" t="n">
        <v>1</v>
      </c>
      <c r="J37" s="5" t="s">
        <v>103</v>
      </c>
      <c r="K37" s="6" t="s">
        <v>103</v>
      </c>
      <c r="L37" s="5"/>
      <c r="M37" s="5"/>
      <c r="N37" s="5" t="s">
        <v>569</v>
      </c>
      <c r="O37" s="5" t="s">
        <v>570</v>
      </c>
      <c r="P37" s="10" t="str">
        <f aca="false">IFERROR(IF(INDEX('Parts to price'!$M$2:$M$92,MATCH(J37,'Parts to price'!$A$2:$A$92,0))="","",INDEX('Parts to price'!$M$2:$M$92,MATCH(J37,'Parts to price'!$A$2:$A$92,0))),"")</f>
        <v/>
      </c>
      <c r="Q37" s="10" t="str">
        <f aca="false">IF(P37="","",P37*I37)</f>
        <v/>
      </c>
      <c r="R37" s="6" t="s">
        <v>573</v>
      </c>
    </row>
    <row r="38" customFormat="false" ht="46.25" hidden="false" customHeight="false" outlineLevel="0" collapsed="false">
      <c r="A38" s="5" t="s">
        <v>574</v>
      </c>
      <c r="B38" s="5" t="s">
        <v>454</v>
      </c>
      <c r="C38" s="5" t="s">
        <v>455</v>
      </c>
      <c r="D38" s="5" t="s">
        <v>430</v>
      </c>
      <c r="E38" s="5" t="s">
        <v>38</v>
      </c>
      <c r="F38" s="5" t="s">
        <v>46</v>
      </c>
      <c r="G38" s="5" t="s">
        <v>447</v>
      </c>
      <c r="H38" s="5" t="s">
        <v>104</v>
      </c>
      <c r="I38" s="7" t="n">
        <v>1</v>
      </c>
      <c r="J38" s="5" t="s">
        <v>103</v>
      </c>
      <c r="K38" s="6" t="s">
        <v>103</v>
      </c>
      <c r="L38" s="5"/>
      <c r="M38" s="5"/>
      <c r="N38" s="5" t="s">
        <v>569</v>
      </c>
      <c r="O38" s="5" t="s">
        <v>570</v>
      </c>
      <c r="P38" s="10" t="str">
        <f aca="false">IFERROR(IF(INDEX('Parts to price'!$M$2:$M$92,MATCH(J38,'Parts to price'!$A$2:$A$92,0))="","",INDEX('Parts to price'!$M$2:$M$92,MATCH(J38,'Parts to price'!$A$2:$A$92,0))),"")</f>
        <v/>
      </c>
      <c r="Q38" s="10" t="str">
        <f aca="false">IF(P38="","",P38*I38)</f>
        <v/>
      </c>
      <c r="R38" s="6" t="s">
        <v>575</v>
      </c>
    </row>
    <row r="39" customFormat="false" ht="79.85" hidden="false" customHeight="false" outlineLevel="0" collapsed="false">
      <c r="A39" s="5" t="s">
        <v>576</v>
      </c>
      <c r="B39" s="5" t="s">
        <v>454</v>
      </c>
      <c r="C39" s="5" t="s">
        <v>455</v>
      </c>
      <c r="D39" s="5" t="s">
        <v>430</v>
      </c>
      <c r="E39" s="5" t="s">
        <v>38</v>
      </c>
      <c r="F39" s="5" t="s">
        <v>46</v>
      </c>
      <c r="G39" s="5" t="s">
        <v>577</v>
      </c>
      <c r="H39" s="5" t="s">
        <v>53</v>
      </c>
      <c r="I39" s="7" t="n">
        <v>1</v>
      </c>
      <c r="J39" s="5" t="s">
        <v>122</v>
      </c>
      <c r="K39" s="6" t="s">
        <v>578</v>
      </c>
      <c r="L39" s="5" t="s">
        <v>122</v>
      </c>
      <c r="M39" s="5"/>
      <c r="N39" s="5" t="s">
        <v>579</v>
      </c>
      <c r="O39" s="5" t="s">
        <v>580</v>
      </c>
      <c r="P39" s="10" t="str">
        <f aca="false">IFERROR(IF(INDEX('Parts to price'!$M$2:$M$92,MATCH(J39,'Parts to price'!$A$2:$A$92,0))="","",INDEX('Parts to price'!$M$2:$M$92,MATCH(J39,'Parts to price'!$A$2:$A$92,0))),"")</f>
        <v/>
      </c>
      <c r="Q39" s="10" t="str">
        <f aca="false">IF(P39="","",P39*I39)</f>
        <v/>
      </c>
      <c r="R39" s="6" t="s">
        <v>581</v>
      </c>
    </row>
    <row r="40" customFormat="false" ht="68.65" hidden="false" customHeight="false" outlineLevel="0" collapsed="false">
      <c r="A40" s="5" t="s">
        <v>582</v>
      </c>
      <c r="B40" s="5" t="s">
        <v>428</v>
      </c>
      <c r="C40" s="5" t="s">
        <v>429</v>
      </c>
      <c r="D40" s="5" t="s">
        <v>430</v>
      </c>
      <c r="E40" s="5" t="s">
        <v>38</v>
      </c>
      <c r="F40" s="5" t="s">
        <v>46</v>
      </c>
      <c r="G40" s="5" t="s">
        <v>583</v>
      </c>
      <c r="H40" s="5" t="s">
        <v>124</v>
      </c>
      <c r="I40" s="7" t="n">
        <v>1</v>
      </c>
      <c r="J40" s="5" t="s">
        <v>122</v>
      </c>
      <c r="K40" s="6" t="s">
        <v>123</v>
      </c>
      <c r="L40" s="5" t="s">
        <v>122</v>
      </c>
      <c r="M40" s="5" t="s">
        <v>584</v>
      </c>
      <c r="N40" s="5" t="s">
        <v>585</v>
      </c>
      <c r="O40" s="5" t="s">
        <v>586</v>
      </c>
      <c r="P40" s="10" t="str">
        <f aca="false">IFERROR(IF(INDEX('Parts to price'!$M$2:$M$92,MATCH(J40,'Parts to price'!$A$2:$A$92,0))="","",INDEX('Parts to price'!$M$2:$M$92,MATCH(J40,'Parts to price'!$A$2:$A$92,0))),"")</f>
        <v/>
      </c>
      <c r="Q40" s="10" t="str">
        <f aca="false">IF(P40="","",P40*I40)</f>
        <v/>
      </c>
      <c r="R40" s="6" t="s">
        <v>587</v>
      </c>
    </row>
    <row r="41" customFormat="false" ht="79.85" hidden="false" customHeight="false" outlineLevel="0" collapsed="false">
      <c r="A41" s="5" t="s">
        <v>197</v>
      </c>
      <c r="B41" s="5" t="s">
        <v>428</v>
      </c>
      <c r="C41" s="5" t="s">
        <v>429</v>
      </c>
      <c r="D41" s="5" t="s">
        <v>430</v>
      </c>
      <c r="E41" s="5" t="s">
        <v>38</v>
      </c>
      <c r="F41" s="5" t="s">
        <v>46</v>
      </c>
      <c r="G41" s="5" t="s">
        <v>588</v>
      </c>
      <c r="H41" s="5" t="s">
        <v>196</v>
      </c>
      <c r="I41" s="7" t="n">
        <v>1</v>
      </c>
      <c r="J41" s="5" t="s">
        <v>194</v>
      </c>
      <c r="K41" s="6" t="s">
        <v>195</v>
      </c>
      <c r="L41" s="5" t="s">
        <v>194</v>
      </c>
      <c r="M41" s="5"/>
      <c r="N41" s="5" t="s">
        <v>589</v>
      </c>
      <c r="O41" s="5" t="s">
        <v>590</v>
      </c>
      <c r="P41" s="10" t="str">
        <f aca="false">IFERROR(IF(INDEX('Parts to price'!$M$2:$M$92,MATCH(J41,'Parts to price'!$A$2:$A$92,0))="","",INDEX('Parts to price'!$M$2:$M$92,MATCH(J41,'Parts to price'!$A$2:$A$92,0))),"")</f>
        <v/>
      </c>
      <c r="Q41" s="10" t="str">
        <f aca="false">IF(P41="","",P41*I41)</f>
        <v/>
      </c>
      <c r="R41" s="6" t="s">
        <v>591</v>
      </c>
    </row>
    <row r="42" customFormat="false" ht="57.45" hidden="false" customHeight="false" outlineLevel="0" collapsed="false">
      <c r="A42" s="5" t="s">
        <v>200</v>
      </c>
      <c r="B42" s="5" t="s">
        <v>454</v>
      </c>
      <c r="C42" s="5" t="s">
        <v>455</v>
      </c>
      <c r="D42" s="5" t="s">
        <v>430</v>
      </c>
      <c r="E42" s="5" t="s">
        <v>38</v>
      </c>
      <c r="F42" s="5" t="s">
        <v>46</v>
      </c>
      <c r="G42" s="5" t="s">
        <v>592</v>
      </c>
      <c r="H42" s="5" t="s">
        <v>158</v>
      </c>
      <c r="I42" s="7" t="n">
        <v>1</v>
      </c>
      <c r="J42" s="5" t="s">
        <v>198</v>
      </c>
      <c r="K42" s="6" t="s">
        <v>199</v>
      </c>
      <c r="L42" s="5" t="s">
        <v>198</v>
      </c>
      <c r="M42" s="5"/>
      <c r="N42" s="5" t="s">
        <v>593</v>
      </c>
      <c r="O42" s="5" t="s">
        <v>594</v>
      </c>
      <c r="P42" s="10" t="str">
        <f aca="false">IFERROR(IF(INDEX('Parts to price'!$M$2:$M$92,MATCH(J42,'Parts to price'!$A$2:$A$92,0))="","",INDEX('Parts to price'!$M$2:$M$92,MATCH(J42,'Parts to price'!$A$2:$A$92,0))),"")</f>
        <v/>
      </c>
      <c r="Q42" s="10" t="str">
        <f aca="false">IF(P42="","",P42*I42)</f>
        <v/>
      </c>
      <c r="R42" s="6" t="s">
        <v>595</v>
      </c>
    </row>
    <row r="43" customFormat="false" ht="68.65" hidden="false" customHeight="false" outlineLevel="0" collapsed="false">
      <c r="A43" s="5" t="s">
        <v>204</v>
      </c>
      <c r="B43" s="5" t="s">
        <v>454</v>
      </c>
      <c r="C43" s="5" t="s">
        <v>455</v>
      </c>
      <c r="D43" s="5" t="s">
        <v>430</v>
      </c>
      <c r="E43" s="5" t="s">
        <v>38</v>
      </c>
      <c r="F43" s="5" t="s">
        <v>46</v>
      </c>
      <c r="G43" s="5" t="s">
        <v>456</v>
      </c>
      <c r="H43" s="5" t="s">
        <v>203</v>
      </c>
      <c r="I43" s="7" t="n">
        <v>1</v>
      </c>
      <c r="J43" s="5" t="s">
        <v>201</v>
      </c>
      <c r="K43" s="6" t="s">
        <v>202</v>
      </c>
      <c r="L43" s="5" t="s">
        <v>201</v>
      </c>
      <c r="M43" s="5"/>
      <c r="N43" s="5" t="s">
        <v>596</v>
      </c>
      <c r="O43" s="5" t="s">
        <v>597</v>
      </c>
      <c r="P43" s="10" t="str">
        <f aca="false">IFERROR(IF(INDEX('Parts to price'!$M$2:$M$92,MATCH(J43,'Parts to price'!$A$2:$A$92,0))="","",INDEX('Parts to price'!$M$2:$M$92,MATCH(J43,'Parts to price'!$A$2:$A$92,0))),"")</f>
        <v/>
      </c>
      <c r="Q43" s="10" t="str">
        <f aca="false">IF(P43="","",P43*I43)</f>
        <v/>
      </c>
      <c r="R43" s="6" t="s">
        <v>598</v>
      </c>
    </row>
    <row r="44" customFormat="false" ht="79.85" hidden="false" customHeight="false" outlineLevel="0" collapsed="false">
      <c r="A44" s="5" t="s">
        <v>208</v>
      </c>
      <c r="B44" s="5" t="s">
        <v>428</v>
      </c>
      <c r="C44" s="5" t="s">
        <v>429</v>
      </c>
      <c r="D44" s="5" t="s">
        <v>430</v>
      </c>
      <c r="E44" s="5" t="s">
        <v>38</v>
      </c>
      <c r="F44" s="5" t="s">
        <v>46</v>
      </c>
      <c r="G44" s="5" t="s">
        <v>436</v>
      </c>
      <c r="H44" s="5" t="s">
        <v>207</v>
      </c>
      <c r="I44" s="7" t="n">
        <v>1</v>
      </c>
      <c r="J44" s="5" t="s">
        <v>205</v>
      </c>
      <c r="K44" s="6" t="s">
        <v>206</v>
      </c>
      <c r="L44" s="5" t="s">
        <v>205</v>
      </c>
      <c r="M44" s="5" t="s">
        <v>599</v>
      </c>
      <c r="N44" s="5" t="s">
        <v>503</v>
      </c>
      <c r="O44" s="5" t="s">
        <v>504</v>
      </c>
      <c r="P44" s="10" t="str">
        <f aca="false">IFERROR(IF(INDEX('Parts to price'!$M$2:$M$92,MATCH(J44,'Parts to price'!$A$2:$A$92,0))="","",INDEX('Parts to price'!$M$2:$M$92,MATCH(J44,'Parts to price'!$A$2:$A$92,0))),"")</f>
        <v/>
      </c>
      <c r="Q44" s="10" t="str">
        <f aca="false">IF(P44="","",P44*I44)</f>
        <v/>
      </c>
      <c r="R44" s="6" t="s">
        <v>600</v>
      </c>
    </row>
    <row r="45" customFormat="false" ht="68.65" hidden="false" customHeight="false" outlineLevel="0" collapsed="false">
      <c r="A45" s="5" t="s">
        <v>601</v>
      </c>
      <c r="B45" s="5" t="s">
        <v>428</v>
      </c>
      <c r="C45" s="5" t="s">
        <v>429</v>
      </c>
      <c r="D45" s="5" t="s">
        <v>430</v>
      </c>
      <c r="E45" s="5" t="s">
        <v>38</v>
      </c>
      <c r="F45" s="5" t="s">
        <v>46</v>
      </c>
      <c r="G45" s="5" t="s">
        <v>431</v>
      </c>
      <c r="H45" s="5" t="s">
        <v>87</v>
      </c>
      <c r="I45" s="7" t="n">
        <v>1</v>
      </c>
      <c r="J45" s="5" t="s">
        <v>85</v>
      </c>
      <c r="K45" s="6" t="s">
        <v>86</v>
      </c>
      <c r="L45" s="5" t="s">
        <v>85</v>
      </c>
      <c r="M45" s="5" t="s">
        <v>602</v>
      </c>
      <c r="N45" s="5" t="s">
        <v>603</v>
      </c>
      <c r="O45" s="5" t="s">
        <v>604</v>
      </c>
      <c r="P45" s="10" t="str">
        <f aca="false">IFERROR(IF(INDEX('Parts to price'!$M$2:$M$92,MATCH(J45,'Parts to price'!$A$2:$A$92,0))="","",INDEX('Parts to price'!$M$2:$M$92,MATCH(J45,'Parts to price'!$A$2:$A$92,0))),"")</f>
        <v/>
      </c>
      <c r="Q45" s="10" t="str">
        <f aca="false">IF(P45="","",P45*I45)</f>
        <v/>
      </c>
      <c r="R45" s="6" t="s">
        <v>605</v>
      </c>
    </row>
    <row r="46" customFormat="false" ht="79.85" hidden="false" customHeight="false" outlineLevel="0" collapsed="false">
      <c r="A46" s="5" t="s">
        <v>606</v>
      </c>
      <c r="B46" s="5" t="s">
        <v>428</v>
      </c>
      <c r="C46" s="5" t="s">
        <v>429</v>
      </c>
      <c r="D46" s="5" t="s">
        <v>430</v>
      </c>
      <c r="E46" s="5" t="s">
        <v>38</v>
      </c>
      <c r="F46" s="5" t="s">
        <v>46</v>
      </c>
      <c r="G46" s="5" t="s">
        <v>607</v>
      </c>
      <c r="H46" s="5" t="s">
        <v>608</v>
      </c>
      <c r="I46" s="7" t="n">
        <v>1</v>
      </c>
      <c r="J46" s="5" t="s">
        <v>85</v>
      </c>
      <c r="K46" s="6" t="s">
        <v>609</v>
      </c>
      <c r="L46" s="5" t="s">
        <v>85</v>
      </c>
      <c r="M46" s="5"/>
      <c r="N46" s="5" t="s">
        <v>610</v>
      </c>
      <c r="O46" s="5" t="s">
        <v>611</v>
      </c>
      <c r="P46" s="10" t="str">
        <f aca="false">IFERROR(IF(INDEX('Parts to price'!$M$2:$M$92,MATCH(J46,'Parts to price'!$A$2:$A$92,0))="","",INDEX('Parts to price'!$M$2:$M$92,MATCH(J46,'Parts to price'!$A$2:$A$92,0))),"")</f>
        <v/>
      </c>
      <c r="Q46" s="10" t="str">
        <f aca="false">IF(P46="","",P46*I46)</f>
        <v/>
      </c>
      <c r="R46" s="6" t="s">
        <v>612</v>
      </c>
    </row>
    <row r="47" customFormat="false" ht="79.85" hidden="false" customHeight="false" outlineLevel="0" collapsed="false">
      <c r="A47" s="5" t="s">
        <v>613</v>
      </c>
      <c r="B47" s="5" t="s">
        <v>428</v>
      </c>
      <c r="C47" s="5" t="s">
        <v>429</v>
      </c>
      <c r="D47" s="5" t="s">
        <v>430</v>
      </c>
      <c r="E47" s="5" t="s">
        <v>38</v>
      </c>
      <c r="F47" s="5" t="s">
        <v>46</v>
      </c>
      <c r="G47" s="5" t="s">
        <v>542</v>
      </c>
      <c r="H47" s="5" t="s">
        <v>88</v>
      </c>
      <c r="I47" s="7" t="n">
        <v>1</v>
      </c>
      <c r="J47" s="5" t="s">
        <v>85</v>
      </c>
      <c r="K47" s="6" t="s">
        <v>614</v>
      </c>
      <c r="L47" s="5" t="s">
        <v>85</v>
      </c>
      <c r="M47" s="5" t="s">
        <v>615</v>
      </c>
      <c r="N47" s="5" t="s">
        <v>610</v>
      </c>
      <c r="O47" s="5" t="s">
        <v>611</v>
      </c>
      <c r="P47" s="10" t="str">
        <f aca="false">IFERROR(IF(INDEX('Parts to price'!$M$2:$M$92,MATCH(J47,'Parts to price'!$A$2:$A$92,0))="","",INDEX('Parts to price'!$M$2:$M$92,MATCH(J47,'Parts to price'!$A$2:$A$92,0))),"")</f>
        <v/>
      </c>
      <c r="Q47" s="10" t="str">
        <f aca="false">IF(P47="","",P47*I47)</f>
        <v/>
      </c>
      <c r="R47" s="6" t="s">
        <v>616</v>
      </c>
    </row>
    <row r="48" customFormat="false" ht="57.45" hidden="false" customHeight="false" outlineLevel="0" collapsed="false">
      <c r="A48" s="5" t="s">
        <v>617</v>
      </c>
      <c r="B48" s="5" t="s">
        <v>454</v>
      </c>
      <c r="C48" s="5" t="s">
        <v>455</v>
      </c>
      <c r="D48" s="5" t="s">
        <v>430</v>
      </c>
      <c r="E48" s="5" t="s">
        <v>38</v>
      </c>
      <c r="F48" s="5" t="s">
        <v>46</v>
      </c>
      <c r="G48" s="5" t="s">
        <v>618</v>
      </c>
      <c r="H48" s="5" t="s">
        <v>93</v>
      </c>
      <c r="I48" s="7" t="n">
        <v>1</v>
      </c>
      <c r="J48" s="5" t="s">
        <v>90</v>
      </c>
      <c r="K48" s="6" t="s">
        <v>619</v>
      </c>
      <c r="L48" s="5" t="s">
        <v>90</v>
      </c>
      <c r="M48" s="5"/>
      <c r="N48" s="5" t="s">
        <v>620</v>
      </c>
      <c r="O48" s="5" t="s">
        <v>621</v>
      </c>
      <c r="P48" s="10" t="str">
        <f aca="false">IFERROR(IF(INDEX('Parts to price'!$M$2:$M$92,MATCH(J48,'Parts to price'!$A$2:$A$92,0))="","",INDEX('Parts to price'!$M$2:$M$92,MATCH(J48,'Parts to price'!$A$2:$A$92,0))),"")</f>
        <v/>
      </c>
      <c r="Q48" s="10" t="str">
        <f aca="false">IF(P48="","",P48*I48)</f>
        <v/>
      </c>
      <c r="R48" s="6" t="s">
        <v>622</v>
      </c>
    </row>
    <row r="49" customFormat="false" ht="68.65" hidden="false" customHeight="false" outlineLevel="0" collapsed="false">
      <c r="A49" s="5" t="s">
        <v>623</v>
      </c>
      <c r="B49" s="5" t="s">
        <v>454</v>
      </c>
      <c r="C49" s="5" t="s">
        <v>455</v>
      </c>
      <c r="D49" s="5" t="s">
        <v>430</v>
      </c>
      <c r="E49" s="5" t="s">
        <v>38</v>
      </c>
      <c r="F49" s="5" t="s">
        <v>46</v>
      </c>
      <c r="G49" s="5" t="s">
        <v>618</v>
      </c>
      <c r="H49" s="5" t="s">
        <v>343</v>
      </c>
      <c r="I49" s="7" t="n">
        <v>1</v>
      </c>
      <c r="J49" s="5" t="s">
        <v>90</v>
      </c>
      <c r="K49" s="6" t="s">
        <v>91</v>
      </c>
      <c r="L49" s="5" t="s">
        <v>90</v>
      </c>
      <c r="M49" s="5"/>
      <c r="N49" s="5" t="s">
        <v>620</v>
      </c>
      <c r="O49" s="5" t="s">
        <v>621</v>
      </c>
      <c r="P49" s="10" t="str">
        <f aca="false">IFERROR(IF(INDEX('Parts to price'!$M$2:$M$92,MATCH(J49,'Parts to price'!$A$2:$A$92,0))="","",INDEX('Parts to price'!$M$2:$M$92,MATCH(J49,'Parts to price'!$A$2:$A$92,0))),"")</f>
        <v/>
      </c>
      <c r="Q49" s="10" t="str">
        <f aca="false">IF(P49="","",P49*I49)</f>
        <v/>
      </c>
      <c r="R49" s="6" t="s">
        <v>624</v>
      </c>
    </row>
    <row r="50" customFormat="false" ht="79.85" hidden="false" customHeight="false" outlineLevel="0" collapsed="false">
      <c r="A50" s="5" t="s">
        <v>625</v>
      </c>
      <c r="B50" s="5" t="s">
        <v>454</v>
      </c>
      <c r="C50" s="5" t="s">
        <v>455</v>
      </c>
      <c r="D50" s="5" t="s">
        <v>430</v>
      </c>
      <c r="E50" s="5" t="s">
        <v>38</v>
      </c>
      <c r="F50" s="5" t="s">
        <v>46</v>
      </c>
      <c r="G50" s="5" t="s">
        <v>618</v>
      </c>
      <c r="H50" s="5" t="s">
        <v>94</v>
      </c>
      <c r="I50" s="7" t="n">
        <v>1</v>
      </c>
      <c r="J50" s="5" t="s">
        <v>90</v>
      </c>
      <c r="K50" s="6" t="s">
        <v>626</v>
      </c>
      <c r="L50" s="5" t="s">
        <v>90</v>
      </c>
      <c r="M50" s="5"/>
      <c r="N50" s="5" t="s">
        <v>620</v>
      </c>
      <c r="O50" s="5" t="s">
        <v>621</v>
      </c>
      <c r="P50" s="10" t="str">
        <f aca="false">IFERROR(IF(INDEX('Parts to price'!$M$2:$M$92,MATCH(J50,'Parts to price'!$A$2:$A$92,0))="","",INDEX('Parts to price'!$M$2:$M$92,MATCH(J50,'Parts to price'!$A$2:$A$92,0))),"")</f>
        <v/>
      </c>
      <c r="Q50" s="10" t="str">
        <f aca="false">IF(P50="","",P50*I50)</f>
        <v/>
      </c>
      <c r="R50" s="6" t="s">
        <v>627</v>
      </c>
    </row>
    <row r="51" customFormat="false" ht="68.65" hidden="false" customHeight="false" outlineLevel="0" collapsed="false">
      <c r="A51" s="5" t="s">
        <v>212</v>
      </c>
      <c r="B51" s="5" t="s">
        <v>454</v>
      </c>
      <c r="C51" s="5" t="s">
        <v>455</v>
      </c>
      <c r="D51" s="5" t="s">
        <v>430</v>
      </c>
      <c r="E51" s="5" t="s">
        <v>38</v>
      </c>
      <c r="F51" s="5" t="s">
        <v>37</v>
      </c>
      <c r="G51" s="5" t="s">
        <v>628</v>
      </c>
      <c r="H51" s="5" t="s">
        <v>211</v>
      </c>
      <c r="I51" s="7" t="n">
        <v>1</v>
      </c>
      <c r="J51" s="5" t="s">
        <v>209</v>
      </c>
      <c r="K51" s="6" t="s">
        <v>210</v>
      </c>
      <c r="L51" s="5" t="s">
        <v>209</v>
      </c>
      <c r="M51" s="5" t="s">
        <v>629</v>
      </c>
      <c r="N51" s="5" t="s">
        <v>630</v>
      </c>
      <c r="O51" s="5" t="s">
        <v>631</v>
      </c>
      <c r="P51" s="10" t="str">
        <f aca="false">IFERROR(IF(INDEX('Parts to price'!$M$2:$M$92,MATCH(J51,'Parts to price'!$A$2:$A$92,0))="","",INDEX('Parts to price'!$M$2:$M$92,MATCH(J51,'Parts to price'!$A$2:$A$92,0))),"")</f>
        <v/>
      </c>
      <c r="Q51" s="10" t="str">
        <f aca="false">IF(P51="","",P51*I51)</f>
        <v/>
      </c>
      <c r="R51" s="6" t="s">
        <v>632</v>
      </c>
    </row>
    <row r="52" customFormat="false" ht="57.45" hidden="false" customHeight="false" outlineLevel="0" collapsed="false">
      <c r="A52" s="5" t="s">
        <v>216</v>
      </c>
      <c r="B52" s="5" t="s">
        <v>428</v>
      </c>
      <c r="C52" s="5" t="s">
        <v>429</v>
      </c>
      <c r="D52" s="5" t="s">
        <v>430</v>
      </c>
      <c r="E52" s="5" t="s">
        <v>38</v>
      </c>
      <c r="F52" s="5" t="s">
        <v>37</v>
      </c>
      <c r="G52" s="5" t="s">
        <v>485</v>
      </c>
      <c r="H52" s="5" t="s">
        <v>215</v>
      </c>
      <c r="I52" s="7" t="n">
        <v>1</v>
      </c>
      <c r="J52" s="5" t="s">
        <v>213</v>
      </c>
      <c r="K52" s="6" t="s">
        <v>214</v>
      </c>
      <c r="L52" s="5" t="s">
        <v>213</v>
      </c>
      <c r="M52" s="5"/>
      <c r="N52" s="5" t="s">
        <v>443</v>
      </c>
      <c r="O52" s="5" t="s">
        <v>444</v>
      </c>
      <c r="P52" s="10" t="str">
        <f aca="false">IFERROR(IF(INDEX('Parts to price'!$M$2:$M$92,MATCH(J52,'Parts to price'!$A$2:$A$92,0))="","",INDEX('Parts to price'!$M$2:$M$92,MATCH(J52,'Parts to price'!$A$2:$A$92,0))),"")</f>
        <v/>
      </c>
      <c r="Q52" s="10" t="str">
        <f aca="false">IF(P52="","",P52*I52)</f>
        <v/>
      </c>
      <c r="R52" s="6" t="s">
        <v>633</v>
      </c>
    </row>
    <row r="53" customFormat="false" ht="68.65" hidden="false" customHeight="false" outlineLevel="0" collapsed="false">
      <c r="A53" s="5" t="s">
        <v>219</v>
      </c>
      <c r="B53" s="5" t="s">
        <v>428</v>
      </c>
      <c r="C53" s="5" t="s">
        <v>429</v>
      </c>
      <c r="D53" s="5" t="s">
        <v>430</v>
      </c>
      <c r="E53" s="5" t="s">
        <v>38</v>
      </c>
      <c r="F53" s="5" t="s">
        <v>37</v>
      </c>
      <c r="G53" s="5" t="s">
        <v>485</v>
      </c>
      <c r="H53" s="5" t="s">
        <v>215</v>
      </c>
      <c r="I53" s="7" t="n">
        <v>1</v>
      </c>
      <c r="J53" s="5" t="s">
        <v>217</v>
      </c>
      <c r="K53" s="6" t="s">
        <v>218</v>
      </c>
      <c r="L53" s="5" t="s">
        <v>217</v>
      </c>
      <c r="M53" s="5" t="s">
        <v>634</v>
      </c>
      <c r="N53" s="5" t="s">
        <v>630</v>
      </c>
      <c r="O53" s="5" t="s">
        <v>631</v>
      </c>
      <c r="P53" s="10" t="str">
        <f aca="false">IFERROR(IF(INDEX('Parts to price'!$M$2:$M$92,MATCH(J53,'Parts to price'!$A$2:$A$92,0))="","",INDEX('Parts to price'!$M$2:$M$92,MATCH(J53,'Parts to price'!$A$2:$A$92,0))),"")</f>
        <v/>
      </c>
      <c r="Q53" s="10" t="str">
        <f aca="false">IF(P53="","",P53*I53)</f>
        <v/>
      </c>
      <c r="R53" s="6" t="s">
        <v>635</v>
      </c>
    </row>
    <row r="54" customFormat="false" ht="57.45" hidden="false" customHeight="false" outlineLevel="0" collapsed="false">
      <c r="A54" s="5" t="s">
        <v>636</v>
      </c>
      <c r="B54" s="5" t="s">
        <v>454</v>
      </c>
      <c r="C54" s="5" t="s">
        <v>455</v>
      </c>
      <c r="D54" s="5" t="s">
        <v>430</v>
      </c>
      <c r="E54" s="5" t="s">
        <v>38</v>
      </c>
      <c r="F54" s="5" t="s">
        <v>46</v>
      </c>
      <c r="G54" s="5" t="s">
        <v>506</v>
      </c>
      <c r="H54" s="5" t="s">
        <v>128</v>
      </c>
      <c r="I54" s="7" t="n">
        <v>1</v>
      </c>
      <c r="J54" s="5" t="s">
        <v>126</v>
      </c>
      <c r="K54" s="6" t="s">
        <v>127</v>
      </c>
      <c r="L54" s="5" t="s">
        <v>126</v>
      </c>
      <c r="M54" s="5"/>
      <c r="N54" s="5" t="s">
        <v>481</v>
      </c>
      <c r="O54" s="5" t="s">
        <v>482</v>
      </c>
      <c r="P54" s="10" t="str">
        <f aca="false">IFERROR(IF(INDEX('Parts to price'!$M$2:$M$92,MATCH(J54,'Parts to price'!$A$2:$A$92,0))="","",INDEX('Parts to price'!$M$2:$M$92,MATCH(J54,'Parts to price'!$A$2:$A$92,0))),"")</f>
        <v/>
      </c>
      <c r="Q54" s="10" t="str">
        <f aca="false">IF(P54="","",P54*I54)</f>
        <v/>
      </c>
      <c r="R54" s="6" t="s">
        <v>637</v>
      </c>
    </row>
    <row r="55" customFormat="false" ht="79.85" hidden="false" customHeight="false" outlineLevel="0" collapsed="false">
      <c r="A55" s="5" t="s">
        <v>638</v>
      </c>
      <c r="B55" s="5" t="s">
        <v>428</v>
      </c>
      <c r="C55" s="5" t="s">
        <v>429</v>
      </c>
      <c r="D55" s="5" t="s">
        <v>430</v>
      </c>
      <c r="E55" s="5" t="s">
        <v>38</v>
      </c>
      <c r="F55" s="5" t="s">
        <v>46</v>
      </c>
      <c r="G55" s="5" t="s">
        <v>542</v>
      </c>
      <c r="H55" s="5" t="s">
        <v>129</v>
      </c>
      <c r="I55" s="7" t="n">
        <v>1</v>
      </c>
      <c r="J55" s="5" t="s">
        <v>126</v>
      </c>
      <c r="K55" s="6" t="s">
        <v>639</v>
      </c>
      <c r="L55" s="5" t="s">
        <v>126</v>
      </c>
      <c r="M55" s="5" t="s">
        <v>640</v>
      </c>
      <c r="N55" s="5" t="s">
        <v>641</v>
      </c>
      <c r="O55" s="5" t="s">
        <v>642</v>
      </c>
      <c r="P55" s="10" t="str">
        <f aca="false">IFERROR(IF(INDEX('Parts to price'!$M$2:$M$92,MATCH(J55,'Parts to price'!$A$2:$A$92,0))="","",INDEX('Parts to price'!$M$2:$M$92,MATCH(J55,'Parts to price'!$A$2:$A$92,0))),"")</f>
        <v/>
      </c>
      <c r="Q55" s="10" t="str">
        <f aca="false">IF(P55="","",P55*I55)</f>
        <v/>
      </c>
      <c r="R55" s="6" t="s">
        <v>643</v>
      </c>
    </row>
    <row r="56" customFormat="false" ht="57.45" hidden="false" customHeight="false" outlineLevel="0" collapsed="false">
      <c r="A56" s="5" t="s">
        <v>223</v>
      </c>
      <c r="B56" s="5" t="s">
        <v>454</v>
      </c>
      <c r="C56" s="5" t="s">
        <v>455</v>
      </c>
      <c r="D56" s="5" t="s">
        <v>430</v>
      </c>
      <c r="E56" s="5" t="s">
        <v>38</v>
      </c>
      <c r="F56" s="5" t="s">
        <v>37</v>
      </c>
      <c r="G56" s="5" t="s">
        <v>472</v>
      </c>
      <c r="H56" s="5" t="s">
        <v>222</v>
      </c>
      <c r="I56" s="7" t="n">
        <v>1</v>
      </c>
      <c r="J56" s="5" t="s">
        <v>220</v>
      </c>
      <c r="K56" s="6" t="s">
        <v>221</v>
      </c>
      <c r="L56" s="5" t="s">
        <v>220</v>
      </c>
      <c r="M56" s="5"/>
      <c r="N56" s="5" t="s">
        <v>443</v>
      </c>
      <c r="O56" s="5" t="s">
        <v>444</v>
      </c>
      <c r="P56" s="10" t="str">
        <f aca="false">IFERROR(IF(INDEX('Parts to price'!$M$2:$M$92,MATCH(J56,'Parts to price'!$A$2:$A$92,0))="","",INDEX('Parts to price'!$M$2:$M$92,MATCH(J56,'Parts to price'!$A$2:$A$92,0))),"")</f>
        <v/>
      </c>
      <c r="Q56" s="10" t="str">
        <f aca="false">IF(P56="","",P56*I56)</f>
        <v/>
      </c>
      <c r="R56" s="6" t="s">
        <v>644</v>
      </c>
    </row>
    <row r="57" customFormat="false" ht="79.85" hidden="false" customHeight="false" outlineLevel="0" collapsed="false">
      <c r="A57" s="5" t="s">
        <v>226</v>
      </c>
      <c r="B57" s="5" t="s">
        <v>428</v>
      </c>
      <c r="C57" s="5" t="s">
        <v>429</v>
      </c>
      <c r="D57" s="5" t="s">
        <v>430</v>
      </c>
      <c r="E57" s="5" t="s">
        <v>38</v>
      </c>
      <c r="F57" s="5" t="s">
        <v>37</v>
      </c>
      <c r="G57" s="5" t="s">
        <v>452</v>
      </c>
      <c r="H57" s="5" t="s">
        <v>77</v>
      </c>
      <c r="I57" s="7" t="n">
        <v>1</v>
      </c>
      <c r="J57" s="5" t="s">
        <v>224</v>
      </c>
      <c r="K57" s="6" t="s">
        <v>225</v>
      </c>
      <c r="L57" s="5" t="s">
        <v>224</v>
      </c>
      <c r="M57" s="5"/>
      <c r="N57" s="5" t="s">
        <v>630</v>
      </c>
      <c r="O57" s="5" t="s">
        <v>631</v>
      </c>
      <c r="P57" s="10" t="str">
        <f aca="false">IFERROR(IF(INDEX('Parts to price'!$M$2:$M$92,MATCH(J57,'Parts to price'!$A$2:$A$92,0))="","",INDEX('Parts to price'!$M$2:$M$92,MATCH(J57,'Parts to price'!$A$2:$A$92,0))),"")</f>
        <v/>
      </c>
      <c r="Q57" s="10" t="str">
        <f aca="false">IF(P57="","",P57*I57)</f>
        <v/>
      </c>
      <c r="R57" s="6" t="s">
        <v>645</v>
      </c>
    </row>
    <row r="58" customFormat="false" ht="79.85" hidden="false" customHeight="false" outlineLevel="0" collapsed="false">
      <c r="A58" s="5" t="s">
        <v>230</v>
      </c>
      <c r="B58" s="5" t="s">
        <v>428</v>
      </c>
      <c r="C58" s="5" t="s">
        <v>429</v>
      </c>
      <c r="D58" s="5" t="s">
        <v>430</v>
      </c>
      <c r="E58" s="5" t="s">
        <v>38</v>
      </c>
      <c r="F58" s="5" t="s">
        <v>46</v>
      </c>
      <c r="G58" s="5" t="s">
        <v>646</v>
      </c>
      <c r="H58" s="5" t="s">
        <v>229</v>
      </c>
      <c r="I58" s="7" t="n">
        <v>1</v>
      </c>
      <c r="J58" s="5" t="s">
        <v>227</v>
      </c>
      <c r="K58" s="6" t="s">
        <v>228</v>
      </c>
      <c r="L58" s="5" t="s">
        <v>227</v>
      </c>
      <c r="M58" s="5"/>
      <c r="N58" s="5" t="s">
        <v>647</v>
      </c>
      <c r="O58" s="5" t="s">
        <v>648</v>
      </c>
      <c r="P58" s="10" t="str">
        <f aca="false">IFERROR(IF(INDEX('Parts to price'!$M$2:$M$92,MATCH(J58,'Parts to price'!$A$2:$A$92,0))="","",INDEX('Parts to price'!$M$2:$M$92,MATCH(J58,'Parts to price'!$A$2:$A$92,0))),"")</f>
        <v/>
      </c>
      <c r="Q58" s="10" t="str">
        <f aca="false">IF(P58="","",P58*I58)</f>
        <v/>
      </c>
      <c r="R58" s="6" t="s">
        <v>649</v>
      </c>
    </row>
    <row r="59" customFormat="false" ht="68.65" hidden="false" customHeight="false" outlineLevel="0" collapsed="false">
      <c r="A59" s="5" t="s">
        <v>234</v>
      </c>
      <c r="B59" s="5" t="s">
        <v>428</v>
      </c>
      <c r="C59" s="5" t="s">
        <v>429</v>
      </c>
      <c r="D59" s="5" t="s">
        <v>430</v>
      </c>
      <c r="E59" s="5" t="s">
        <v>38</v>
      </c>
      <c r="F59" s="5" t="s">
        <v>46</v>
      </c>
      <c r="G59" s="5" t="s">
        <v>583</v>
      </c>
      <c r="H59" s="5" t="s">
        <v>233</v>
      </c>
      <c r="I59" s="7" t="n">
        <v>1</v>
      </c>
      <c r="J59" s="5" t="s">
        <v>231</v>
      </c>
      <c r="K59" s="6" t="s">
        <v>232</v>
      </c>
      <c r="L59" s="5" t="s">
        <v>231</v>
      </c>
      <c r="M59" s="5" t="s">
        <v>650</v>
      </c>
      <c r="N59" s="5" t="s">
        <v>651</v>
      </c>
      <c r="O59" s="5" t="s">
        <v>642</v>
      </c>
      <c r="P59" s="10" t="str">
        <f aca="false">IFERROR(IF(INDEX('Parts to price'!$M$2:$M$92,MATCH(J59,'Parts to price'!$A$2:$A$92,0))="","",INDEX('Parts to price'!$M$2:$M$92,MATCH(J59,'Parts to price'!$A$2:$A$92,0))),"")</f>
        <v/>
      </c>
      <c r="Q59" s="10" t="str">
        <f aca="false">IF(P59="","",P59*I59)</f>
        <v/>
      </c>
      <c r="R59" s="6" t="s">
        <v>652</v>
      </c>
    </row>
    <row r="60" customFormat="false" ht="79.85" hidden="false" customHeight="false" outlineLevel="0" collapsed="false">
      <c r="A60" s="5" t="s">
        <v>653</v>
      </c>
      <c r="B60" s="5" t="s">
        <v>454</v>
      </c>
      <c r="C60" s="5" t="s">
        <v>455</v>
      </c>
      <c r="D60" s="5" t="s">
        <v>430</v>
      </c>
      <c r="E60" s="5" t="s">
        <v>38</v>
      </c>
      <c r="F60" s="5" t="s">
        <v>46</v>
      </c>
      <c r="G60" s="5" t="s">
        <v>485</v>
      </c>
      <c r="H60" s="5" t="s">
        <v>98</v>
      </c>
      <c r="I60" s="7" t="n">
        <v>1</v>
      </c>
      <c r="J60" s="5" t="s">
        <v>96</v>
      </c>
      <c r="K60" s="6" t="s">
        <v>654</v>
      </c>
      <c r="L60" s="5" t="s">
        <v>96</v>
      </c>
      <c r="M60" s="5"/>
      <c r="N60" s="5" t="s">
        <v>655</v>
      </c>
      <c r="O60" s="5" t="s">
        <v>656</v>
      </c>
      <c r="P60" s="10" t="str">
        <f aca="false">IFERROR(IF(INDEX('Parts to price'!$M$2:$M$92,MATCH(J60,'Parts to price'!$A$2:$A$92,0))="","",INDEX('Parts to price'!$M$2:$M$92,MATCH(J60,'Parts to price'!$A$2:$A$92,0))),"")</f>
        <v/>
      </c>
      <c r="Q60" s="10" t="str">
        <f aca="false">IF(P60="","",P60*I60)</f>
        <v/>
      </c>
      <c r="R60" s="6" t="s">
        <v>657</v>
      </c>
    </row>
    <row r="61" customFormat="false" ht="79.85" hidden="false" customHeight="false" outlineLevel="0" collapsed="false">
      <c r="A61" s="5" t="s">
        <v>658</v>
      </c>
      <c r="B61" s="5" t="s">
        <v>428</v>
      </c>
      <c r="C61" s="5" t="s">
        <v>429</v>
      </c>
      <c r="D61" s="5" t="s">
        <v>430</v>
      </c>
      <c r="E61" s="5" t="s">
        <v>38</v>
      </c>
      <c r="F61" s="5" t="s">
        <v>46</v>
      </c>
      <c r="G61" s="5" t="s">
        <v>659</v>
      </c>
      <c r="H61" s="5" t="s">
        <v>660</v>
      </c>
      <c r="I61" s="7" t="n">
        <v>1</v>
      </c>
      <c r="J61" s="5" t="s">
        <v>96</v>
      </c>
      <c r="K61" s="6" t="s">
        <v>661</v>
      </c>
      <c r="L61" s="5" t="s">
        <v>96</v>
      </c>
      <c r="M61" s="5" t="s">
        <v>662</v>
      </c>
      <c r="N61" s="5" t="s">
        <v>663</v>
      </c>
      <c r="O61" s="5" t="s">
        <v>664</v>
      </c>
      <c r="P61" s="10" t="str">
        <f aca="false">IFERROR(IF(INDEX('Parts to price'!$M$2:$M$92,MATCH(J61,'Parts to price'!$A$2:$A$92,0))="","",INDEX('Parts to price'!$M$2:$M$92,MATCH(J61,'Parts to price'!$A$2:$A$92,0))),"")</f>
        <v/>
      </c>
      <c r="Q61" s="10" t="str">
        <f aca="false">IF(P61="","",P61*I61)</f>
        <v/>
      </c>
      <c r="R61" s="6" t="s">
        <v>665</v>
      </c>
    </row>
    <row r="62" customFormat="false" ht="79.85" hidden="false" customHeight="false" outlineLevel="0" collapsed="false">
      <c r="A62" s="5" t="s">
        <v>666</v>
      </c>
      <c r="B62" s="5" t="s">
        <v>428</v>
      </c>
      <c r="C62" s="5" t="s">
        <v>429</v>
      </c>
      <c r="D62" s="5" t="s">
        <v>430</v>
      </c>
      <c r="E62" s="5" t="s">
        <v>38</v>
      </c>
      <c r="F62" s="5" t="s">
        <v>46</v>
      </c>
      <c r="G62" s="5" t="s">
        <v>542</v>
      </c>
      <c r="H62" s="5" t="s">
        <v>88</v>
      </c>
      <c r="I62" s="7" t="n">
        <v>1</v>
      </c>
      <c r="J62" s="5" t="s">
        <v>96</v>
      </c>
      <c r="K62" s="6" t="s">
        <v>97</v>
      </c>
      <c r="L62" s="5" t="s">
        <v>96</v>
      </c>
      <c r="M62" s="5" t="s">
        <v>473</v>
      </c>
      <c r="N62" s="5" t="s">
        <v>474</v>
      </c>
      <c r="O62" s="5" t="s">
        <v>475</v>
      </c>
      <c r="P62" s="10" t="str">
        <f aca="false">IFERROR(IF(INDEX('Parts to price'!$M$2:$M$92,MATCH(J62,'Parts to price'!$A$2:$A$92,0))="","",INDEX('Parts to price'!$M$2:$M$92,MATCH(J62,'Parts to price'!$A$2:$A$92,0))),"")</f>
        <v/>
      </c>
      <c r="Q62" s="10" t="str">
        <f aca="false">IF(P62="","",P62*I62)</f>
        <v/>
      </c>
      <c r="R62" s="6" t="s">
        <v>667</v>
      </c>
    </row>
    <row r="63" customFormat="false" ht="68.65" hidden="false" customHeight="false" outlineLevel="0" collapsed="false">
      <c r="A63" s="5" t="s">
        <v>238</v>
      </c>
      <c r="B63" s="5" t="s">
        <v>454</v>
      </c>
      <c r="C63" s="5" t="s">
        <v>455</v>
      </c>
      <c r="D63" s="5" t="s">
        <v>430</v>
      </c>
      <c r="E63" s="5" t="s">
        <v>38</v>
      </c>
      <c r="F63" s="5" t="s">
        <v>46</v>
      </c>
      <c r="G63" s="5" t="s">
        <v>456</v>
      </c>
      <c r="H63" s="5" t="s">
        <v>237</v>
      </c>
      <c r="I63" s="7" t="n">
        <v>1</v>
      </c>
      <c r="J63" s="5" t="s">
        <v>235</v>
      </c>
      <c r="K63" s="6" t="s">
        <v>236</v>
      </c>
      <c r="L63" s="5" t="s">
        <v>235</v>
      </c>
      <c r="M63" s="5"/>
      <c r="N63" s="5" t="s">
        <v>668</v>
      </c>
      <c r="O63" s="5" t="s">
        <v>669</v>
      </c>
      <c r="P63" s="10" t="str">
        <f aca="false">IFERROR(IF(INDEX('Parts to price'!$M$2:$M$92,MATCH(J63,'Parts to price'!$A$2:$A$92,0))="","",INDEX('Parts to price'!$M$2:$M$92,MATCH(J63,'Parts to price'!$A$2:$A$92,0))),"")</f>
        <v/>
      </c>
      <c r="Q63" s="10" t="str">
        <f aca="false">IF(P63="","",P63*I63)</f>
        <v/>
      </c>
      <c r="R63" s="6" t="s">
        <v>670</v>
      </c>
    </row>
    <row r="64" customFormat="false" ht="79.85" hidden="false" customHeight="false" outlineLevel="0" collapsed="false">
      <c r="A64" s="5" t="s">
        <v>241</v>
      </c>
      <c r="B64" s="5" t="s">
        <v>454</v>
      </c>
      <c r="C64" s="5" t="s">
        <v>455</v>
      </c>
      <c r="D64" s="5" t="s">
        <v>430</v>
      </c>
      <c r="E64" s="5" t="s">
        <v>38</v>
      </c>
      <c r="F64" s="5" t="s">
        <v>46</v>
      </c>
      <c r="G64" s="5" t="s">
        <v>583</v>
      </c>
      <c r="H64" s="5" t="s">
        <v>124</v>
      </c>
      <c r="I64" s="7" t="n">
        <v>1</v>
      </c>
      <c r="J64" s="5" t="s">
        <v>239</v>
      </c>
      <c r="K64" s="6" t="s">
        <v>240</v>
      </c>
      <c r="L64" s="5" t="s">
        <v>239</v>
      </c>
      <c r="M64" s="5"/>
      <c r="N64" s="5" t="s">
        <v>671</v>
      </c>
      <c r="O64" s="5" t="s">
        <v>621</v>
      </c>
      <c r="P64" s="10" t="str">
        <f aca="false">IFERROR(IF(INDEX('Parts to price'!$M$2:$M$92,MATCH(J64,'Parts to price'!$A$2:$A$92,0))="","",INDEX('Parts to price'!$M$2:$M$92,MATCH(J64,'Parts to price'!$A$2:$A$92,0))),"")</f>
        <v/>
      </c>
      <c r="Q64" s="10" t="str">
        <f aca="false">IF(P64="","",P64*I64)</f>
        <v/>
      </c>
      <c r="R64" s="6" t="s">
        <v>672</v>
      </c>
    </row>
    <row r="65" customFormat="false" ht="68.65" hidden="false" customHeight="false" outlineLevel="0" collapsed="false">
      <c r="A65" s="5" t="s">
        <v>673</v>
      </c>
      <c r="B65" s="5" t="s">
        <v>428</v>
      </c>
      <c r="C65" s="5" t="s">
        <v>429</v>
      </c>
      <c r="D65" s="5" t="s">
        <v>430</v>
      </c>
      <c r="E65" s="5" t="s">
        <v>38</v>
      </c>
      <c r="F65" s="5" t="s">
        <v>46</v>
      </c>
      <c r="G65" s="5" t="s">
        <v>628</v>
      </c>
      <c r="H65" s="5" t="s">
        <v>53</v>
      </c>
      <c r="I65" s="7" t="n">
        <v>1</v>
      </c>
      <c r="J65" s="5" t="s">
        <v>50</v>
      </c>
      <c r="K65" s="6" t="s">
        <v>91</v>
      </c>
      <c r="L65" s="5" t="s">
        <v>50</v>
      </c>
      <c r="M65" s="5"/>
      <c r="N65" s="5" t="s">
        <v>674</v>
      </c>
      <c r="O65" s="5" t="s">
        <v>656</v>
      </c>
      <c r="P65" s="10" t="str">
        <f aca="false">IFERROR(IF(INDEX('Parts to price'!$M$2:$M$92,MATCH(J65,'Parts to price'!$A$2:$A$92,0))="","",INDEX('Parts to price'!$M$2:$M$92,MATCH(J65,'Parts to price'!$A$2:$A$92,0))),"")</f>
        <v/>
      </c>
      <c r="Q65" s="10" t="str">
        <f aca="false">IF(P65="","",P65*I65)</f>
        <v/>
      </c>
      <c r="R65" s="6" t="s">
        <v>675</v>
      </c>
    </row>
    <row r="66" customFormat="false" ht="57.45" hidden="false" customHeight="false" outlineLevel="0" collapsed="false">
      <c r="A66" s="5" t="s">
        <v>676</v>
      </c>
      <c r="B66" s="5" t="s">
        <v>454</v>
      </c>
      <c r="C66" s="5" t="s">
        <v>455</v>
      </c>
      <c r="D66" s="5" t="s">
        <v>430</v>
      </c>
      <c r="E66" s="5" t="s">
        <v>38</v>
      </c>
      <c r="F66" s="5" t="s">
        <v>46</v>
      </c>
      <c r="G66" s="5" t="s">
        <v>466</v>
      </c>
      <c r="H66" s="5" t="s">
        <v>307</v>
      </c>
      <c r="I66" s="7" t="n">
        <v>1</v>
      </c>
      <c r="J66" s="5" t="s">
        <v>50</v>
      </c>
      <c r="K66" s="6" t="s">
        <v>51</v>
      </c>
      <c r="L66" s="5" t="s">
        <v>50</v>
      </c>
      <c r="M66" s="5"/>
      <c r="N66" s="5" t="s">
        <v>677</v>
      </c>
      <c r="O66" s="5" t="s">
        <v>656</v>
      </c>
      <c r="P66" s="10" t="str">
        <f aca="false">IFERROR(IF(INDEX('Parts to price'!$M$2:$M$92,MATCH(J66,'Parts to price'!$A$2:$A$92,0))="","",INDEX('Parts to price'!$M$2:$M$92,MATCH(J66,'Parts to price'!$A$2:$A$92,0))),"")</f>
        <v/>
      </c>
      <c r="Q66" s="10" t="str">
        <f aca="false">IF(P66="","",P66*I66)</f>
        <v/>
      </c>
      <c r="R66" s="6" t="s">
        <v>678</v>
      </c>
    </row>
    <row r="67" customFormat="false" ht="68.65" hidden="false" customHeight="false" outlineLevel="0" collapsed="false">
      <c r="A67" s="5" t="s">
        <v>679</v>
      </c>
      <c r="B67" s="5" t="s">
        <v>454</v>
      </c>
      <c r="C67" s="5" t="s">
        <v>455</v>
      </c>
      <c r="D67" s="5" t="s">
        <v>430</v>
      </c>
      <c r="E67" s="5" t="s">
        <v>38</v>
      </c>
      <c r="F67" s="5" t="s">
        <v>46</v>
      </c>
      <c r="G67" s="5" t="s">
        <v>466</v>
      </c>
      <c r="H67" s="5" t="s">
        <v>77</v>
      </c>
      <c r="I67" s="7" t="n">
        <v>1</v>
      </c>
      <c r="J67" s="5" t="s">
        <v>50</v>
      </c>
      <c r="K67" s="6" t="s">
        <v>51</v>
      </c>
      <c r="L67" s="5" t="s">
        <v>50</v>
      </c>
      <c r="M67" s="5"/>
      <c r="N67" s="5" t="s">
        <v>677</v>
      </c>
      <c r="O67" s="5" t="s">
        <v>656</v>
      </c>
      <c r="P67" s="10" t="str">
        <f aca="false">IFERROR(IF(INDEX('Parts to price'!$M$2:$M$92,MATCH(J67,'Parts to price'!$A$2:$A$92,0))="","",INDEX('Parts to price'!$M$2:$M$92,MATCH(J67,'Parts to price'!$A$2:$A$92,0))),"")</f>
        <v/>
      </c>
      <c r="Q67" s="10" t="str">
        <f aca="false">IF(P67="","",P67*I67)</f>
        <v/>
      </c>
      <c r="R67" s="6" t="s">
        <v>680</v>
      </c>
    </row>
    <row r="68" customFormat="false" ht="46.25" hidden="false" customHeight="false" outlineLevel="0" collapsed="false">
      <c r="A68" s="5" t="s">
        <v>681</v>
      </c>
      <c r="B68" s="5" t="s">
        <v>454</v>
      </c>
      <c r="C68" s="5" t="s">
        <v>455</v>
      </c>
      <c r="D68" s="5" t="s">
        <v>430</v>
      </c>
      <c r="E68" s="5" t="s">
        <v>38</v>
      </c>
      <c r="F68" s="5" t="s">
        <v>46</v>
      </c>
      <c r="G68" s="5" t="s">
        <v>431</v>
      </c>
      <c r="H68" s="5" t="s">
        <v>54</v>
      </c>
      <c r="I68" s="7" t="n">
        <v>1</v>
      </c>
      <c r="J68" s="5" t="s">
        <v>50</v>
      </c>
      <c r="K68" s="6" t="s">
        <v>682</v>
      </c>
      <c r="L68" s="5" t="s">
        <v>50</v>
      </c>
      <c r="M68" s="5"/>
      <c r="N68" s="5" t="s">
        <v>674</v>
      </c>
      <c r="O68" s="5" t="s">
        <v>656</v>
      </c>
      <c r="P68" s="10" t="str">
        <f aca="false">IFERROR(IF(INDEX('Parts to price'!$M$2:$M$92,MATCH(J68,'Parts to price'!$A$2:$A$92,0))="","",INDEX('Parts to price'!$M$2:$M$92,MATCH(J68,'Parts to price'!$A$2:$A$92,0))),"")</f>
        <v/>
      </c>
      <c r="Q68" s="10" t="str">
        <f aca="false">IF(P68="","",P68*I68)</f>
        <v/>
      </c>
      <c r="R68" s="6" t="s">
        <v>683</v>
      </c>
    </row>
    <row r="69" customFormat="false" ht="57.45" hidden="false" customHeight="false" outlineLevel="0" collapsed="false">
      <c r="A69" s="5" t="s">
        <v>377</v>
      </c>
      <c r="B69" s="5" t="s">
        <v>454</v>
      </c>
      <c r="C69" s="5" t="s">
        <v>455</v>
      </c>
      <c r="D69" s="5" t="s">
        <v>430</v>
      </c>
      <c r="E69" s="5" t="s">
        <v>38</v>
      </c>
      <c r="F69" s="5" t="s">
        <v>46</v>
      </c>
      <c r="G69" s="5" t="s">
        <v>542</v>
      </c>
      <c r="H69" s="5" t="s">
        <v>297</v>
      </c>
      <c r="I69" s="7" t="n">
        <v>1</v>
      </c>
      <c r="J69" s="5" t="s">
        <v>375</v>
      </c>
      <c r="K69" s="6" t="s">
        <v>376</v>
      </c>
      <c r="L69" s="5"/>
      <c r="M69" s="5"/>
      <c r="N69" s="5" t="s">
        <v>684</v>
      </c>
      <c r="O69" s="5" t="s">
        <v>685</v>
      </c>
      <c r="P69" s="10" t="str">
        <f aca="false">IFERROR(IF(INDEX('Parts to price'!$M$2:$M$92,MATCH(J69,'Parts to price'!$A$2:$A$92,0))="","",INDEX('Parts to price'!$M$2:$M$92,MATCH(J69,'Parts to price'!$A$2:$A$92,0))),"")</f>
        <v/>
      </c>
      <c r="Q69" s="10" t="str">
        <f aca="false">IF(P69="","",P69*I69)</f>
        <v/>
      </c>
      <c r="R69" s="6" t="s">
        <v>686</v>
      </c>
    </row>
    <row r="70" customFormat="false" ht="79.85" hidden="false" customHeight="false" outlineLevel="0" collapsed="false">
      <c r="A70" s="5" t="s">
        <v>380</v>
      </c>
      <c r="B70" s="5" t="s">
        <v>454</v>
      </c>
      <c r="C70" s="5" t="s">
        <v>455</v>
      </c>
      <c r="D70" s="5" t="s">
        <v>430</v>
      </c>
      <c r="E70" s="5" t="s">
        <v>38</v>
      </c>
      <c r="F70" s="5" t="s">
        <v>46</v>
      </c>
      <c r="G70" s="5" t="s">
        <v>436</v>
      </c>
      <c r="H70" s="5" t="s">
        <v>289</v>
      </c>
      <c r="I70" s="7" t="n">
        <v>1</v>
      </c>
      <c r="J70" s="5" t="s">
        <v>378</v>
      </c>
      <c r="K70" s="6" t="s">
        <v>379</v>
      </c>
      <c r="L70" s="5"/>
      <c r="M70" s="5"/>
      <c r="N70" s="5" t="s">
        <v>579</v>
      </c>
      <c r="O70" s="5" t="s">
        <v>580</v>
      </c>
      <c r="P70" s="10" t="str">
        <f aca="false">IFERROR(IF(INDEX('Parts to price'!$M$2:$M$92,MATCH(J70,'Parts to price'!$A$2:$A$92,0))="","",INDEX('Parts to price'!$M$2:$M$92,MATCH(J70,'Parts to price'!$A$2:$A$92,0))),"")</f>
        <v/>
      </c>
      <c r="Q70" s="10" t="str">
        <f aca="false">IF(P70="","",P70*I70)</f>
        <v/>
      </c>
      <c r="R70" s="6" t="s">
        <v>687</v>
      </c>
    </row>
    <row r="71" customFormat="false" ht="79.85" hidden="false" customHeight="false" outlineLevel="0" collapsed="false">
      <c r="A71" s="5" t="s">
        <v>383</v>
      </c>
      <c r="B71" s="5" t="s">
        <v>428</v>
      </c>
      <c r="C71" s="5" t="s">
        <v>429</v>
      </c>
      <c r="D71" s="5" t="s">
        <v>430</v>
      </c>
      <c r="E71" s="5" t="s">
        <v>38</v>
      </c>
      <c r="F71" s="5" t="s">
        <v>37</v>
      </c>
      <c r="G71" s="5" t="s">
        <v>688</v>
      </c>
      <c r="H71" s="5" t="s">
        <v>382</v>
      </c>
      <c r="I71" s="7" t="n">
        <v>1</v>
      </c>
      <c r="J71" s="5" t="s">
        <v>381</v>
      </c>
      <c r="K71" s="6" t="s">
        <v>381</v>
      </c>
      <c r="L71" s="5"/>
      <c r="M71" s="5"/>
      <c r="N71" s="5" t="s">
        <v>246</v>
      </c>
      <c r="O71" s="5" t="s">
        <v>689</v>
      </c>
      <c r="P71" s="10" t="str">
        <f aca="false">IFERROR(IF(INDEX('Parts to price'!$M$2:$M$92,MATCH(J71,'Parts to price'!$A$2:$A$92,0))="","",INDEX('Parts to price'!$M$2:$M$92,MATCH(J71,'Parts to price'!$A$2:$A$92,0))),"")</f>
        <v/>
      </c>
      <c r="Q71" s="10" t="str">
        <f aca="false">IF(P71="","",P71*I71)</f>
        <v/>
      </c>
      <c r="R71" s="6" t="s">
        <v>690</v>
      </c>
    </row>
    <row r="72" customFormat="false" ht="57.45" hidden="false" customHeight="false" outlineLevel="0" collapsed="false">
      <c r="A72" s="5" t="s">
        <v>245</v>
      </c>
      <c r="B72" s="5" t="s">
        <v>454</v>
      </c>
      <c r="C72" s="5" t="s">
        <v>455</v>
      </c>
      <c r="D72" s="5" t="s">
        <v>430</v>
      </c>
      <c r="E72" s="5" t="s">
        <v>38</v>
      </c>
      <c r="F72" s="5" t="s">
        <v>37</v>
      </c>
      <c r="G72" s="5" t="s">
        <v>431</v>
      </c>
      <c r="H72" s="5" t="s">
        <v>244</v>
      </c>
      <c r="I72" s="7" t="n">
        <v>1</v>
      </c>
      <c r="J72" s="5" t="s">
        <v>242</v>
      </c>
      <c r="K72" s="6" t="s">
        <v>243</v>
      </c>
      <c r="L72" s="5" t="s">
        <v>242</v>
      </c>
      <c r="M72" s="5"/>
      <c r="N72" s="5" t="s">
        <v>691</v>
      </c>
      <c r="O72" s="5" t="s">
        <v>692</v>
      </c>
      <c r="P72" s="10" t="str">
        <f aca="false">IFERROR(IF(INDEX('Parts to price'!$M$2:$M$92,MATCH(J72,'Parts to price'!$A$2:$A$92,0))="","",INDEX('Parts to price'!$M$2:$M$92,MATCH(J72,'Parts to price'!$A$2:$A$92,0))),"")</f>
        <v/>
      </c>
      <c r="Q72" s="10" t="str">
        <f aca="false">IF(P72="","",P72*I72)</f>
        <v/>
      </c>
      <c r="R72" s="6" t="s">
        <v>693</v>
      </c>
    </row>
    <row r="73" customFormat="false" ht="79.85" hidden="false" customHeight="false" outlineLevel="0" collapsed="false">
      <c r="A73" s="5" t="s">
        <v>249</v>
      </c>
      <c r="B73" s="5" t="s">
        <v>454</v>
      </c>
      <c r="C73" s="5" t="s">
        <v>455</v>
      </c>
      <c r="D73" s="5" t="s">
        <v>430</v>
      </c>
      <c r="E73" s="5" t="s">
        <v>38</v>
      </c>
      <c r="F73" s="5" t="s">
        <v>37</v>
      </c>
      <c r="G73" s="5" t="s">
        <v>688</v>
      </c>
      <c r="H73" s="5" t="s">
        <v>248</v>
      </c>
      <c r="I73" s="7" t="n">
        <v>1</v>
      </c>
      <c r="J73" s="5" t="s">
        <v>246</v>
      </c>
      <c r="K73" s="6" t="s">
        <v>247</v>
      </c>
      <c r="L73" s="5" t="s">
        <v>246</v>
      </c>
      <c r="M73" s="5"/>
      <c r="N73" s="5"/>
      <c r="O73" s="5"/>
      <c r="P73" s="10" t="str">
        <f aca="false">IFERROR(IF(INDEX('Parts to price'!$M$2:$M$92,MATCH(J73,'Parts to price'!$A$2:$A$92,0))="","",INDEX('Parts to price'!$M$2:$M$92,MATCH(J73,'Parts to price'!$A$2:$A$92,0))),"")</f>
        <v/>
      </c>
      <c r="Q73" s="10" t="str">
        <f aca="false">IF(P73="","",P73*I73)</f>
        <v/>
      </c>
      <c r="R73" s="6" t="s">
        <v>694</v>
      </c>
    </row>
    <row r="74" customFormat="false" ht="79.85" hidden="false" customHeight="false" outlineLevel="0" collapsed="false">
      <c r="A74" s="5" t="s">
        <v>252</v>
      </c>
      <c r="B74" s="5" t="s">
        <v>454</v>
      </c>
      <c r="C74" s="5" t="s">
        <v>455</v>
      </c>
      <c r="D74" s="5" t="s">
        <v>430</v>
      </c>
      <c r="E74" s="5" t="s">
        <v>38</v>
      </c>
      <c r="F74" s="5" t="s">
        <v>46</v>
      </c>
      <c r="G74" s="5" t="s">
        <v>607</v>
      </c>
      <c r="H74" s="5" t="s">
        <v>48</v>
      </c>
      <c r="I74" s="7" t="n">
        <v>1</v>
      </c>
      <c r="J74" s="5" t="s">
        <v>250</v>
      </c>
      <c r="K74" s="6" t="s">
        <v>251</v>
      </c>
      <c r="L74" s="5" t="s">
        <v>250</v>
      </c>
      <c r="M74" s="5"/>
      <c r="N74" s="5" t="s">
        <v>536</v>
      </c>
      <c r="O74" s="5" t="s">
        <v>537</v>
      </c>
      <c r="P74" s="10" t="str">
        <f aca="false">IFERROR(IF(INDEX('Parts to price'!$M$2:$M$92,MATCH(J74,'Parts to price'!$A$2:$A$92,0))="","",INDEX('Parts to price'!$M$2:$M$92,MATCH(J74,'Parts to price'!$A$2:$A$92,0))),"")</f>
        <v/>
      </c>
      <c r="Q74" s="10" t="str">
        <f aca="false">IF(P74="","",P74*I74)</f>
        <v/>
      </c>
      <c r="R74" s="6" t="s">
        <v>695</v>
      </c>
    </row>
    <row r="75" customFormat="false" ht="79.85" hidden="false" customHeight="false" outlineLevel="0" collapsed="false">
      <c r="A75" s="5" t="s">
        <v>256</v>
      </c>
      <c r="B75" s="5" t="s">
        <v>428</v>
      </c>
      <c r="C75" s="5" t="s">
        <v>429</v>
      </c>
      <c r="D75" s="5" t="s">
        <v>430</v>
      </c>
      <c r="E75" s="5" t="s">
        <v>38</v>
      </c>
      <c r="F75" s="5" t="s">
        <v>46</v>
      </c>
      <c r="G75" s="5" t="s">
        <v>436</v>
      </c>
      <c r="H75" s="5" t="s">
        <v>255</v>
      </c>
      <c r="I75" s="7" t="n">
        <v>1</v>
      </c>
      <c r="J75" s="5" t="s">
        <v>253</v>
      </c>
      <c r="K75" s="6" t="s">
        <v>254</v>
      </c>
      <c r="L75" s="5" t="s">
        <v>253</v>
      </c>
      <c r="M75" s="5"/>
      <c r="N75" s="5" t="s">
        <v>696</v>
      </c>
      <c r="O75" s="5" t="s">
        <v>697</v>
      </c>
      <c r="P75" s="10" t="str">
        <f aca="false">IFERROR(IF(INDEX('Parts to price'!$M$2:$M$92,MATCH(J75,'Parts to price'!$A$2:$A$92,0))="","",INDEX('Parts to price'!$M$2:$M$92,MATCH(J75,'Parts to price'!$A$2:$A$92,0))),"")</f>
        <v/>
      </c>
      <c r="Q75" s="10" t="str">
        <f aca="false">IF(P75="","",P75*I75)</f>
        <v/>
      </c>
      <c r="R75" s="6" t="s">
        <v>698</v>
      </c>
    </row>
    <row r="76" customFormat="false" ht="79.85" hidden="false" customHeight="false" outlineLevel="0" collapsed="false">
      <c r="A76" s="5" t="s">
        <v>260</v>
      </c>
      <c r="B76" s="5" t="s">
        <v>428</v>
      </c>
      <c r="C76" s="5" t="s">
        <v>429</v>
      </c>
      <c r="D76" s="5" t="s">
        <v>430</v>
      </c>
      <c r="E76" s="5" t="s">
        <v>38</v>
      </c>
      <c r="F76" s="5" t="s">
        <v>46</v>
      </c>
      <c r="G76" s="5" t="s">
        <v>699</v>
      </c>
      <c r="H76" s="5" t="s">
        <v>259</v>
      </c>
      <c r="I76" s="7" t="n">
        <v>1</v>
      </c>
      <c r="J76" s="5" t="s">
        <v>257</v>
      </c>
      <c r="K76" s="6" t="s">
        <v>258</v>
      </c>
      <c r="L76" s="5" t="s">
        <v>257</v>
      </c>
      <c r="M76" s="5"/>
      <c r="N76" s="5" t="s">
        <v>596</v>
      </c>
      <c r="O76" s="5" t="s">
        <v>597</v>
      </c>
      <c r="P76" s="10" t="str">
        <f aca="false">IFERROR(IF(INDEX('Parts to price'!$M$2:$M$92,MATCH(J76,'Parts to price'!$A$2:$A$92,0))="","",INDEX('Parts to price'!$M$2:$M$92,MATCH(J76,'Parts to price'!$A$2:$A$92,0))),"")</f>
        <v/>
      </c>
      <c r="Q76" s="10" t="str">
        <f aca="false">IF(P76="","",P76*I76)</f>
        <v/>
      </c>
      <c r="R76" s="6" t="s">
        <v>700</v>
      </c>
    </row>
    <row r="77" customFormat="false" ht="79.85" hidden="false" customHeight="false" outlineLevel="0" collapsed="false">
      <c r="A77" s="5" t="s">
        <v>263</v>
      </c>
      <c r="B77" s="5" t="s">
        <v>428</v>
      </c>
      <c r="C77" s="5" t="s">
        <v>429</v>
      </c>
      <c r="D77" s="5" t="s">
        <v>430</v>
      </c>
      <c r="E77" s="5" t="s">
        <v>38</v>
      </c>
      <c r="F77" s="5" t="s">
        <v>46</v>
      </c>
      <c r="G77" s="5" t="s">
        <v>447</v>
      </c>
      <c r="H77" s="5" t="s">
        <v>144</v>
      </c>
      <c r="I77" s="7" t="n">
        <v>1</v>
      </c>
      <c r="J77" s="5" t="s">
        <v>261</v>
      </c>
      <c r="K77" s="6" t="s">
        <v>262</v>
      </c>
      <c r="L77" s="5" t="s">
        <v>261</v>
      </c>
      <c r="M77" s="5"/>
      <c r="N77" s="5" t="s">
        <v>701</v>
      </c>
      <c r="O77" s="5" t="s">
        <v>702</v>
      </c>
      <c r="P77" s="10" t="str">
        <f aca="false">IFERROR(IF(INDEX('Parts to price'!$M$2:$M$92,MATCH(J77,'Parts to price'!$A$2:$A$92,0))="","",INDEX('Parts to price'!$M$2:$M$92,MATCH(J77,'Parts to price'!$A$2:$A$92,0))),"")</f>
        <v/>
      </c>
      <c r="Q77" s="10" t="str">
        <f aca="false">IF(P77="","",P77*I77)</f>
        <v/>
      </c>
      <c r="R77" s="6" t="s">
        <v>703</v>
      </c>
    </row>
    <row r="78" customFormat="false" ht="79.85" hidden="false" customHeight="false" outlineLevel="0" collapsed="false">
      <c r="A78" s="5" t="s">
        <v>268</v>
      </c>
      <c r="B78" s="5" t="s">
        <v>511</v>
      </c>
      <c r="C78" s="5" t="s">
        <v>512</v>
      </c>
      <c r="D78" s="5" t="s">
        <v>430</v>
      </c>
      <c r="E78" s="5" t="s">
        <v>38</v>
      </c>
      <c r="F78" s="5" t="s">
        <v>133</v>
      </c>
      <c r="G78" s="5" t="s">
        <v>704</v>
      </c>
      <c r="H78" s="5" t="s">
        <v>267</v>
      </c>
      <c r="I78" s="7" t="n">
        <v>1</v>
      </c>
      <c r="J78" s="5" t="s">
        <v>264</v>
      </c>
      <c r="K78" s="6" t="s">
        <v>265</v>
      </c>
      <c r="L78" s="5" t="s">
        <v>264</v>
      </c>
      <c r="M78" s="5"/>
      <c r="N78" s="5" t="s">
        <v>705</v>
      </c>
      <c r="O78" s="5" t="s">
        <v>706</v>
      </c>
      <c r="P78" s="10" t="str">
        <f aca="false">IFERROR(IF(INDEX('Parts to price'!$M$2:$M$92,MATCH(J78,'Parts to price'!$A$2:$A$92,0))="","",INDEX('Parts to price'!$M$2:$M$92,MATCH(J78,'Parts to price'!$A$2:$A$92,0))),"")</f>
        <v/>
      </c>
      <c r="Q78" s="10" t="str">
        <f aca="false">IF(P78="","",P78*I78)</f>
        <v/>
      </c>
      <c r="R78" s="6" t="s">
        <v>707</v>
      </c>
    </row>
    <row r="79" customFormat="false" ht="79.85" hidden="false" customHeight="false" outlineLevel="0" collapsed="false">
      <c r="A79" s="5" t="s">
        <v>271</v>
      </c>
      <c r="B79" s="5" t="s">
        <v>511</v>
      </c>
      <c r="C79" s="5" t="s">
        <v>512</v>
      </c>
      <c r="D79" s="5" t="s">
        <v>430</v>
      </c>
      <c r="E79" s="5" t="s">
        <v>38</v>
      </c>
      <c r="F79" s="5" t="s">
        <v>37</v>
      </c>
      <c r="G79" s="5" t="s">
        <v>485</v>
      </c>
      <c r="H79" s="5" t="s">
        <v>148</v>
      </c>
      <c r="I79" s="7" t="n">
        <v>1</v>
      </c>
      <c r="J79" s="5" t="s">
        <v>269</v>
      </c>
      <c r="K79" s="6" t="s">
        <v>270</v>
      </c>
      <c r="L79" s="5" t="s">
        <v>269</v>
      </c>
      <c r="M79" s="5"/>
      <c r="N79" s="5" t="s">
        <v>708</v>
      </c>
      <c r="O79" s="5" t="s">
        <v>709</v>
      </c>
      <c r="P79" s="10" t="str">
        <f aca="false">IFERROR(IF(INDEX('Parts to price'!$M$2:$M$92,MATCH(J79,'Parts to price'!$A$2:$A$92,0))="","",INDEX('Parts to price'!$M$2:$M$92,MATCH(J79,'Parts to price'!$A$2:$A$92,0))),"")</f>
        <v/>
      </c>
      <c r="Q79" s="10" t="str">
        <f aca="false">IF(P79="","",P79*I79)</f>
        <v/>
      </c>
      <c r="R79" s="6" t="s">
        <v>710</v>
      </c>
    </row>
    <row r="80" customFormat="false" ht="79.85" hidden="false" customHeight="false" outlineLevel="0" collapsed="false">
      <c r="A80" s="5" t="s">
        <v>711</v>
      </c>
      <c r="B80" s="5" t="s">
        <v>511</v>
      </c>
      <c r="C80" s="5" t="s">
        <v>512</v>
      </c>
      <c r="D80" s="5" t="s">
        <v>430</v>
      </c>
      <c r="E80" s="5" t="s">
        <v>38</v>
      </c>
      <c r="F80" s="5" t="s">
        <v>133</v>
      </c>
      <c r="G80" s="5" t="s">
        <v>447</v>
      </c>
      <c r="H80" s="5" t="s">
        <v>134</v>
      </c>
      <c r="I80" s="7" t="n">
        <v>1</v>
      </c>
      <c r="J80" s="5" t="s">
        <v>131</v>
      </c>
      <c r="K80" s="6" t="s">
        <v>132</v>
      </c>
      <c r="L80" s="5" t="s">
        <v>131</v>
      </c>
      <c r="M80" s="5"/>
      <c r="N80" s="5" t="s">
        <v>712</v>
      </c>
      <c r="O80" s="5" t="s">
        <v>713</v>
      </c>
      <c r="P80" s="10" t="str">
        <f aca="false">IFERROR(IF(INDEX('Parts to price'!$M$2:$M$92,MATCH(J80,'Parts to price'!$A$2:$A$92,0))="","",INDEX('Parts to price'!$M$2:$M$92,MATCH(J80,'Parts to price'!$A$2:$A$92,0))),"")</f>
        <v/>
      </c>
      <c r="Q80" s="10" t="str">
        <f aca="false">IF(P80="","",P80*I80)</f>
        <v/>
      </c>
      <c r="R80" s="6" t="s">
        <v>714</v>
      </c>
    </row>
    <row r="81" customFormat="false" ht="68.65" hidden="false" customHeight="false" outlineLevel="0" collapsed="false">
      <c r="A81" s="5" t="s">
        <v>715</v>
      </c>
      <c r="B81" s="5" t="s">
        <v>511</v>
      </c>
      <c r="C81" s="5" t="s">
        <v>512</v>
      </c>
      <c r="D81" s="5" t="s">
        <v>430</v>
      </c>
      <c r="E81" s="5" t="s">
        <v>38</v>
      </c>
      <c r="F81" s="5" t="s">
        <v>133</v>
      </c>
      <c r="G81" s="5" t="s">
        <v>472</v>
      </c>
      <c r="H81" s="5" t="s">
        <v>135</v>
      </c>
      <c r="I81" s="7" t="n">
        <v>1</v>
      </c>
      <c r="J81" s="5" t="s">
        <v>131</v>
      </c>
      <c r="K81" s="6" t="s">
        <v>716</v>
      </c>
      <c r="L81" s="5" t="s">
        <v>131</v>
      </c>
      <c r="M81" s="5"/>
      <c r="N81" s="5" t="s">
        <v>712</v>
      </c>
      <c r="O81" s="5" t="s">
        <v>713</v>
      </c>
      <c r="P81" s="10" t="str">
        <f aca="false">IFERROR(IF(INDEX('Parts to price'!$M$2:$M$92,MATCH(J81,'Parts to price'!$A$2:$A$92,0))="","",INDEX('Parts to price'!$M$2:$M$92,MATCH(J81,'Parts to price'!$A$2:$A$92,0))),"")</f>
        <v/>
      </c>
      <c r="Q81" s="10" t="str">
        <f aca="false">IF(P81="","",P81*I81)</f>
        <v/>
      </c>
      <c r="R81" s="6" t="s">
        <v>717</v>
      </c>
    </row>
    <row r="82" customFormat="false" ht="57.45" hidden="false" customHeight="false" outlineLevel="0" collapsed="false">
      <c r="A82" s="5" t="s">
        <v>274</v>
      </c>
      <c r="B82" s="5" t="s">
        <v>511</v>
      </c>
      <c r="C82" s="5" t="s">
        <v>512</v>
      </c>
      <c r="D82" s="5" t="s">
        <v>430</v>
      </c>
      <c r="E82" s="5" t="s">
        <v>38</v>
      </c>
      <c r="F82" s="5" t="s">
        <v>37</v>
      </c>
      <c r="G82" s="5" t="s">
        <v>718</v>
      </c>
      <c r="H82" s="5" t="s">
        <v>87</v>
      </c>
      <c r="I82" s="7" t="n">
        <v>1</v>
      </c>
      <c r="J82" s="5" t="s">
        <v>272</v>
      </c>
      <c r="K82" s="6" t="s">
        <v>273</v>
      </c>
      <c r="L82" s="5" t="s">
        <v>719</v>
      </c>
      <c r="M82" s="5"/>
      <c r="N82" s="5" t="s">
        <v>708</v>
      </c>
      <c r="O82" s="5" t="s">
        <v>709</v>
      </c>
      <c r="P82" s="10" t="str">
        <f aca="false">IFERROR(IF(INDEX('Parts to price'!$M$2:$M$92,MATCH(J82,'Parts to price'!$A$2:$A$92,0))="","",INDEX('Parts to price'!$M$2:$M$92,MATCH(J82,'Parts to price'!$A$2:$A$92,0))),"")</f>
        <v/>
      </c>
      <c r="Q82" s="10" t="str">
        <f aca="false">IF(P82="","",P82*I82)</f>
        <v/>
      </c>
      <c r="R82" s="6" t="s">
        <v>720</v>
      </c>
    </row>
    <row r="83" customFormat="false" ht="79.85" hidden="false" customHeight="false" outlineLevel="0" collapsed="false">
      <c r="A83" s="5" t="s">
        <v>312</v>
      </c>
      <c r="B83" s="5" t="s">
        <v>428</v>
      </c>
      <c r="C83" s="5" t="s">
        <v>429</v>
      </c>
      <c r="D83" s="5" t="s">
        <v>430</v>
      </c>
      <c r="E83" s="5" t="s">
        <v>38</v>
      </c>
      <c r="F83" s="5" t="s">
        <v>46</v>
      </c>
      <c r="G83" s="5" t="s">
        <v>495</v>
      </c>
      <c r="H83" s="5" t="s">
        <v>311</v>
      </c>
      <c r="I83" s="7" t="n">
        <v>1</v>
      </c>
      <c r="J83" s="5" t="s">
        <v>309</v>
      </c>
      <c r="K83" s="6" t="s">
        <v>310</v>
      </c>
      <c r="L83" s="5"/>
      <c r="M83" s="5" t="s">
        <v>721</v>
      </c>
      <c r="N83" s="5" t="s">
        <v>722</v>
      </c>
      <c r="O83" s="5" t="s">
        <v>492</v>
      </c>
      <c r="P83" s="10" t="str">
        <f aca="false">IFERROR(IF(INDEX('Parts to price'!$M$2:$M$92,MATCH(J83,'Parts to price'!$A$2:$A$92,0))="","",INDEX('Parts to price'!$M$2:$M$92,MATCH(J83,'Parts to price'!$A$2:$A$92,0))),"")</f>
        <v/>
      </c>
      <c r="Q83" s="10" t="str">
        <f aca="false">IF(P83="","",P83*I83)</f>
        <v/>
      </c>
      <c r="R83" s="6" t="s">
        <v>723</v>
      </c>
    </row>
    <row r="84" customFormat="false" ht="68.65" hidden="false" customHeight="false" outlineLevel="0" collapsed="false">
      <c r="A84" s="5" t="s">
        <v>316</v>
      </c>
      <c r="B84" s="5" t="s">
        <v>428</v>
      </c>
      <c r="C84" s="5" t="s">
        <v>429</v>
      </c>
      <c r="D84" s="5" t="s">
        <v>430</v>
      </c>
      <c r="E84" s="5" t="s">
        <v>38</v>
      </c>
      <c r="F84" s="5" t="s">
        <v>46</v>
      </c>
      <c r="G84" s="5" t="s">
        <v>704</v>
      </c>
      <c r="H84" s="5" t="s">
        <v>315</v>
      </c>
      <c r="I84" s="7" t="n">
        <v>1</v>
      </c>
      <c r="J84" s="5" t="s">
        <v>313</v>
      </c>
      <c r="K84" s="6" t="s">
        <v>314</v>
      </c>
      <c r="L84" s="5"/>
      <c r="M84" s="5" t="s">
        <v>724</v>
      </c>
      <c r="N84" s="5" t="s">
        <v>579</v>
      </c>
      <c r="O84" s="5" t="s">
        <v>580</v>
      </c>
      <c r="P84" s="10" t="str">
        <f aca="false">IFERROR(IF(INDEX('Parts to price'!$M$2:$M$92,MATCH(J84,'Parts to price'!$A$2:$A$92,0))="","",INDEX('Parts to price'!$M$2:$M$92,MATCH(J84,'Parts to price'!$A$2:$A$92,0))),"")</f>
        <v/>
      </c>
      <c r="Q84" s="10" t="str">
        <f aca="false">IF(P84="","",P84*I84)</f>
        <v/>
      </c>
      <c r="R84" s="6" t="s">
        <v>725</v>
      </c>
    </row>
    <row r="85" customFormat="false" ht="79.85" hidden="false" customHeight="false" outlineLevel="0" collapsed="false">
      <c r="A85" s="5" t="s">
        <v>320</v>
      </c>
      <c r="B85" s="5" t="s">
        <v>428</v>
      </c>
      <c r="C85" s="5" t="s">
        <v>429</v>
      </c>
      <c r="D85" s="5" t="s">
        <v>430</v>
      </c>
      <c r="E85" s="5" t="s">
        <v>38</v>
      </c>
      <c r="F85" s="5" t="s">
        <v>46</v>
      </c>
      <c r="G85" s="5" t="s">
        <v>726</v>
      </c>
      <c r="H85" s="5" t="s">
        <v>319</v>
      </c>
      <c r="I85" s="7" t="n">
        <v>1</v>
      </c>
      <c r="J85" s="5" t="s">
        <v>317</v>
      </c>
      <c r="K85" s="6" t="s">
        <v>318</v>
      </c>
      <c r="L85" s="5"/>
      <c r="M85" s="5" t="s">
        <v>727</v>
      </c>
      <c r="N85" s="5" t="s">
        <v>728</v>
      </c>
      <c r="O85" s="5" t="s">
        <v>729</v>
      </c>
      <c r="P85" s="10" t="str">
        <f aca="false">IFERROR(IF(INDEX('Parts to price'!$M$2:$M$92,MATCH(J85,'Parts to price'!$A$2:$A$92,0))="","",INDEX('Parts to price'!$M$2:$M$92,MATCH(J85,'Parts to price'!$A$2:$A$92,0))),"")</f>
        <v/>
      </c>
      <c r="Q85" s="10" t="str">
        <f aca="false">IF(P85="","",P85*I85)</f>
        <v/>
      </c>
      <c r="R85" s="6" t="s">
        <v>730</v>
      </c>
    </row>
    <row r="86" customFormat="false" ht="79.85" hidden="false" customHeight="false" outlineLevel="0" collapsed="false">
      <c r="A86" s="5" t="s">
        <v>731</v>
      </c>
      <c r="B86" s="5" t="s">
        <v>454</v>
      </c>
      <c r="C86" s="5" t="s">
        <v>455</v>
      </c>
      <c r="D86" s="5" t="s">
        <v>430</v>
      </c>
      <c r="E86" s="5" t="s">
        <v>38</v>
      </c>
      <c r="F86" s="5" t="s">
        <v>46</v>
      </c>
      <c r="G86" s="5" t="s">
        <v>431</v>
      </c>
      <c r="H86" s="5" t="s">
        <v>149</v>
      </c>
      <c r="I86" s="7" t="n">
        <v>1</v>
      </c>
      <c r="J86" s="5" t="s">
        <v>151</v>
      </c>
      <c r="K86" s="6" t="s">
        <v>153</v>
      </c>
      <c r="L86" s="5"/>
      <c r="M86" s="5" t="s">
        <v>732</v>
      </c>
      <c r="N86" s="5" t="s">
        <v>733</v>
      </c>
      <c r="O86" s="5" t="s">
        <v>468</v>
      </c>
      <c r="P86" s="10" t="str">
        <f aca="false">IFERROR(IF(INDEX('Parts to price'!$M$2:$M$92,MATCH(J86,'Parts to price'!$A$2:$A$92,0))="","",INDEX('Parts to price'!$M$2:$M$92,MATCH(J86,'Parts to price'!$A$2:$A$92,0))),"")</f>
        <v/>
      </c>
      <c r="Q86" s="10" t="str">
        <f aca="false">IF(P86="","",P86*I86)</f>
        <v/>
      </c>
      <c r="R86" s="6" t="s">
        <v>734</v>
      </c>
    </row>
    <row r="87" customFormat="false" ht="35.05" hidden="false" customHeight="false" outlineLevel="0" collapsed="false">
      <c r="A87" s="5" t="s">
        <v>735</v>
      </c>
      <c r="B87" s="5" t="s">
        <v>454</v>
      </c>
      <c r="C87" s="5" t="s">
        <v>455</v>
      </c>
      <c r="D87" s="5" t="s">
        <v>430</v>
      </c>
      <c r="E87" s="5" t="s">
        <v>38</v>
      </c>
      <c r="F87" s="5" t="s">
        <v>81</v>
      </c>
      <c r="G87" s="5" t="s">
        <v>431</v>
      </c>
      <c r="H87" s="5" t="s">
        <v>149</v>
      </c>
      <c r="I87" s="7" t="n">
        <v>1</v>
      </c>
      <c r="J87" s="5" t="s">
        <v>151</v>
      </c>
      <c r="K87" s="6" t="s">
        <v>153</v>
      </c>
      <c r="L87" s="5"/>
      <c r="M87" s="5" t="s">
        <v>732</v>
      </c>
      <c r="N87" s="5"/>
      <c r="O87" s="5"/>
      <c r="P87" s="10" t="str">
        <f aca="false">IFERROR(IF(INDEX('Parts to price'!$M$2:$M$92,MATCH(J87,'Parts to price'!$A$2:$A$92,0))="","",INDEX('Parts to price'!$M$2:$M$92,MATCH(J87,'Parts to price'!$A$2:$A$92,0))),"")</f>
        <v/>
      </c>
      <c r="Q87" s="10" t="str">
        <f aca="false">IF(P87="","",P87*I87)</f>
        <v/>
      </c>
      <c r="R87" s="6" t="s">
        <v>736</v>
      </c>
    </row>
    <row r="88" customFormat="false" ht="79.85" hidden="false" customHeight="false" outlineLevel="0" collapsed="false">
      <c r="A88" s="5" t="s">
        <v>324</v>
      </c>
      <c r="B88" s="5" t="s">
        <v>511</v>
      </c>
      <c r="C88" s="5" t="s">
        <v>512</v>
      </c>
      <c r="D88" s="5" t="s">
        <v>430</v>
      </c>
      <c r="E88" s="5" t="s">
        <v>323</v>
      </c>
      <c r="F88" s="5" t="s">
        <v>81</v>
      </c>
      <c r="G88" s="5" t="s">
        <v>737</v>
      </c>
      <c r="H88" s="5" t="s">
        <v>98</v>
      </c>
      <c r="I88" s="7" t="n">
        <v>1</v>
      </c>
      <c r="J88" s="5" t="s">
        <v>321</v>
      </c>
      <c r="K88" s="6" t="s">
        <v>322</v>
      </c>
      <c r="L88" s="5"/>
      <c r="M88" s="5" t="s">
        <v>738</v>
      </c>
      <c r="N88" s="5"/>
      <c r="O88" s="5"/>
      <c r="P88" s="10" t="str">
        <f aca="false">IFERROR(IF(INDEX('Parts to price'!$M$2:$M$92,MATCH(J88,'Parts to price'!$A$2:$A$92,0))="","",INDEX('Parts to price'!$M$2:$M$92,MATCH(J88,'Parts to price'!$A$2:$A$92,0))),"")</f>
        <v/>
      </c>
      <c r="Q88" s="10" t="str">
        <f aca="false">IF(P88="","",P88*I88)</f>
        <v/>
      </c>
      <c r="R88" s="6" t="s">
        <v>739</v>
      </c>
    </row>
    <row r="89" customFormat="false" ht="79.85" hidden="false" customHeight="false" outlineLevel="0" collapsed="false">
      <c r="A89" s="5" t="s">
        <v>327</v>
      </c>
      <c r="B89" s="5" t="s">
        <v>428</v>
      </c>
      <c r="C89" s="5" t="s">
        <v>429</v>
      </c>
      <c r="D89" s="5" t="s">
        <v>430</v>
      </c>
      <c r="E89" s="5" t="s">
        <v>38</v>
      </c>
      <c r="F89" s="5" t="s">
        <v>37</v>
      </c>
      <c r="G89" s="5" t="s">
        <v>718</v>
      </c>
      <c r="H89" s="5" t="s">
        <v>192</v>
      </c>
      <c r="I89" s="7" t="n">
        <v>1</v>
      </c>
      <c r="J89" s="5" t="s">
        <v>325</v>
      </c>
      <c r="K89" s="6" t="s">
        <v>326</v>
      </c>
      <c r="L89" s="5"/>
      <c r="M89" s="5" t="s">
        <v>449</v>
      </c>
      <c r="N89" s="5" t="s">
        <v>443</v>
      </c>
      <c r="O89" s="5" t="s">
        <v>444</v>
      </c>
      <c r="P89" s="10" t="str">
        <f aca="false">IFERROR(IF(INDEX('Parts to price'!$M$2:$M$92,MATCH(J89,'Parts to price'!$A$2:$A$92,0))="","",INDEX('Parts to price'!$M$2:$M$92,MATCH(J89,'Parts to price'!$A$2:$A$92,0))),"")</f>
        <v/>
      </c>
      <c r="Q89" s="10" t="str">
        <f aca="false">IF(P89="","",P89*I89)</f>
        <v/>
      </c>
      <c r="R89" s="6" t="s">
        <v>740</v>
      </c>
    </row>
    <row r="90" customFormat="false" ht="57.45" hidden="false" customHeight="false" outlineLevel="0" collapsed="false">
      <c r="A90" s="5" t="s">
        <v>331</v>
      </c>
      <c r="B90" s="5" t="s">
        <v>428</v>
      </c>
      <c r="C90" s="5" t="s">
        <v>429</v>
      </c>
      <c r="D90" s="5" t="s">
        <v>430</v>
      </c>
      <c r="E90" s="5" t="s">
        <v>38</v>
      </c>
      <c r="F90" s="5" t="s">
        <v>46</v>
      </c>
      <c r="G90" s="5" t="s">
        <v>741</v>
      </c>
      <c r="H90" s="5" t="s">
        <v>330</v>
      </c>
      <c r="I90" s="7" t="n">
        <v>1</v>
      </c>
      <c r="J90" s="5" t="s">
        <v>328</v>
      </c>
      <c r="K90" s="6" t="s">
        <v>329</v>
      </c>
      <c r="L90" s="5"/>
      <c r="M90" s="5" t="s">
        <v>742</v>
      </c>
      <c r="N90" s="5" t="s">
        <v>641</v>
      </c>
      <c r="O90" s="5" t="s">
        <v>642</v>
      </c>
      <c r="P90" s="10" t="str">
        <f aca="false">IFERROR(IF(INDEX('Parts to price'!$M$2:$M$92,MATCH(J90,'Parts to price'!$A$2:$A$92,0))="","",INDEX('Parts to price'!$M$2:$M$92,MATCH(J90,'Parts to price'!$A$2:$A$92,0))),"")</f>
        <v/>
      </c>
      <c r="Q90" s="10" t="str">
        <f aca="false">IF(P90="","",P90*I90)</f>
        <v/>
      </c>
      <c r="R90" s="6" t="s">
        <v>743</v>
      </c>
    </row>
    <row r="91" customFormat="false" ht="57.45" hidden="false" customHeight="false" outlineLevel="0" collapsed="false">
      <c r="A91" s="5" t="s">
        <v>335</v>
      </c>
      <c r="B91" s="5" t="s">
        <v>511</v>
      </c>
      <c r="C91" s="5" t="s">
        <v>512</v>
      </c>
      <c r="D91" s="5" t="s">
        <v>430</v>
      </c>
      <c r="E91" s="5" t="s">
        <v>71</v>
      </c>
      <c r="F91" s="5" t="s">
        <v>81</v>
      </c>
      <c r="G91" s="5" t="s">
        <v>744</v>
      </c>
      <c r="H91" s="5" t="s">
        <v>334</v>
      </c>
      <c r="I91" s="7" t="n">
        <v>1</v>
      </c>
      <c r="J91" s="5" t="s">
        <v>332</v>
      </c>
      <c r="K91" s="6" t="s">
        <v>333</v>
      </c>
      <c r="L91" s="5"/>
      <c r="M91" s="5" t="s">
        <v>745</v>
      </c>
      <c r="N91" s="5" t="s">
        <v>746</v>
      </c>
      <c r="O91" s="5" t="s">
        <v>747</v>
      </c>
      <c r="P91" s="10" t="str">
        <f aca="false">IFERROR(IF(INDEX('Parts to price'!$M$2:$M$92,MATCH(J91,'Parts to price'!$A$2:$A$92,0))="","",INDEX('Parts to price'!$M$2:$M$92,MATCH(J91,'Parts to price'!$A$2:$A$92,0))),"")</f>
        <v/>
      </c>
      <c r="Q91" s="10" t="str">
        <f aca="false">IF(P91="","",P91*I91)</f>
        <v/>
      </c>
      <c r="R91" s="6" t="s">
        <v>748</v>
      </c>
    </row>
    <row r="92" customFormat="false" ht="57.45" hidden="false" customHeight="false" outlineLevel="0" collapsed="false">
      <c r="A92" s="5" t="s">
        <v>339</v>
      </c>
      <c r="B92" s="5" t="s">
        <v>428</v>
      </c>
      <c r="C92" s="5" t="s">
        <v>429</v>
      </c>
      <c r="D92" s="5" t="s">
        <v>430</v>
      </c>
      <c r="E92" s="5" t="s">
        <v>38</v>
      </c>
      <c r="F92" s="5" t="s">
        <v>46</v>
      </c>
      <c r="G92" s="5" t="s">
        <v>718</v>
      </c>
      <c r="H92" s="5" t="s">
        <v>338</v>
      </c>
      <c r="I92" s="7" t="n">
        <v>1</v>
      </c>
      <c r="J92" s="5" t="s">
        <v>336</v>
      </c>
      <c r="K92" s="6" t="s">
        <v>337</v>
      </c>
      <c r="L92" s="5"/>
      <c r="M92" s="5" t="s">
        <v>749</v>
      </c>
      <c r="N92" s="5" t="s">
        <v>499</v>
      </c>
      <c r="O92" s="5" t="s">
        <v>500</v>
      </c>
      <c r="P92" s="10" t="str">
        <f aca="false">IFERROR(IF(INDEX('Parts to price'!$M$2:$M$92,MATCH(J92,'Parts to price'!$A$2:$A$92,0))="","",INDEX('Parts to price'!$M$2:$M$92,MATCH(J92,'Parts to price'!$A$2:$A$92,0))),"")</f>
        <v/>
      </c>
      <c r="Q92" s="10" t="str">
        <f aca="false">IF(P92="","",P92*I92)</f>
        <v/>
      </c>
      <c r="R92" s="6" t="s">
        <v>750</v>
      </c>
    </row>
    <row r="93" customFormat="false" ht="79.85" hidden="false" customHeight="false" outlineLevel="0" collapsed="false">
      <c r="A93" s="5" t="s">
        <v>344</v>
      </c>
      <c r="B93" s="5" t="s">
        <v>428</v>
      </c>
      <c r="C93" s="5" t="s">
        <v>429</v>
      </c>
      <c r="D93" s="5" t="s">
        <v>477</v>
      </c>
      <c r="E93" s="5" t="s">
        <v>38</v>
      </c>
      <c r="F93" s="5" t="s">
        <v>342</v>
      </c>
      <c r="G93" s="5" t="s">
        <v>751</v>
      </c>
      <c r="H93" s="5" t="s">
        <v>343</v>
      </c>
      <c r="I93" s="7" t="n">
        <v>1</v>
      </c>
      <c r="J93" s="5" t="s">
        <v>340</v>
      </c>
      <c r="K93" s="6" t="s">
        <v>341</v>
      </c>
      <c r="L93" s="5"/>
      <c r="M93" s="5" t="s">
        <v>752</v>
      </c>
      <c r="N93" s="5"/>
      <c r="O93" s="5"/>
      <c r="P93" s="10" t="str">
        <f aca="false">IFERROR(IF(INDEX('Parts to price'!$M$2:$M$92,MATCH(J93,'Parts to price'!$A$2:$A$92,0))="","",INDEX('Parts to price'!$M$2:$M$92,MATCH(J93,'Parts to price'!$A$2:$A$92,0))),"")</f>
        <v/>
      </c>
      <c r="Q93" s="10" t="str">
        <f aca="false">IF(P93="","",P93*I93)</f>
        <v/>
      </c>
      <c r="R93" s="6" t="s">
        <v>753</v>
      </c>
    </row>
    <row r="94" customFormat="false" ht="79.85" hidden="false" customHeight="false" outlineLevel="0" collapsed="false">
      <c r="A94" s="5" t="s">
        <v>348</v>
      </c>
      <c r="B94" s="5" t="s">
        <v>428</v>
      </c>
      <c r="C94" s="5" t="s">
        <v>429</v>
      </c>
      <c r="D94" s="5" t="s">
        <v>430</v>
      </c>
      <c r="E94" s="5" t="s">
        <v>38</v>
      </c>
      <c r="F94" s="5" t="s">
        <v>37</v>
      </c>
      <c r="G94" s="5" t="s">
        <v>472</v>
      </c>
      <c r="H94" s="5" t="s">
        <v>347</v>
      </c>
      <c r="I94" s="7" t="n">
        <v>1</v>
      </c>
      <c r="J94" s="5" t="s">
        <v>345</v>
      </c>
      <c r="K94" s="6" t="s">
        <v>346</v>
      </c>
      <c r="L94" s="5"/>
      <c r="M94" s="5" t="s">
        <v>754</v>
      </c>
      <c r="N94" s="5" t="s">
        <v>443</v>
      </c>
      <c r="O94" s="5" t="s">
        <v>444</v>
      </c>
      <c r="P94" s="10" t="str">
        <f aca="false">IFERROR(IF(INDEX('Parts to price'!$M$2:$M$92,MATCH(J94,'Parts to price'!$A$2:$A$92,0))="","",INDEX('Parts to price'!$M$2:$M$92,MATCH(J94,'Parts to price'!$A$2:$A$92,0))),"")</f>
        <v/>
      </c>
      <c r="Q94" s="10" t="str">
        <f aca="false">IF(P94="","",P94*I94)</f>
        <v/>
      </c>
      <c r="R94" s="6" t="s">
        <v>755</v>
      </c>
    </row>
    <row r="95" customFormat="false" ht="79.85" hidden="false" customHeight="false" outlineLevel="0" collapsed="false">
      <c r="A95" s="5" t="s">
        <v>353</v>
      </c>
      <c r="B95" s="5" t="s">
        <v>428</v>
      </c>
      <c r="C95" s="5" t="s">
        <v>429</v>
      </c>
      <c r="D95" s="5" t="s">
        <v>477</v>
      </c>
      <c r="E95" s="5" t="s">
        <v>38</v>
      </c>
      <c r="F95" s="5" t="s">
        <v>351</v>
      </c>
      <c r="G95" s="5" t="s">
        <v>751</v>
      </c>
      <c r="H95" s="5" t="s">
        <v>352</v>
      </c>
      <c r="I95" s="7" t="n">
        <v>1</v>
      </c>
      <c r="J95" s="5" t="s">
        <v>349</v>
      </c>
      <c r="K95" s="6" t="s">
        <v>350</v>
      </c>
      <c r="L95" s="5"/>
      <c r="M95" s="5" t="s">
        <v>756</v>
      </c>
      <c r="N95" s="5"/>
      <c r="O95" s="5"/>
      <c r="P95" s="10" t="str">
        <f aca="false">IFERROR(IF(INDEX('Parts to price'!$M$2:$M$92,MATCH(J95,'Parts to price'!$A$2:$A$92,0))="","",INDEX('Parts to price'!$M$2:$M$92,MATCH(J95,'Parts to price'!$A$2:$A$92,0))),"")</f>
        <v/>
      </c>
      <c r="Q95" s="10" t="str">
        <f aca="false">IF(P95="","",P95*I95)</f>
        <v/>
      </c>
      <c r="R95" s="6" t="s">
        <v>757</v>
      </c>
    </row>
    <row r="96" customFormat="false" ht="79.85" hidden="false" customHeight="false" outlineLevel="0" collapsed="false">
      <c r="A96" s="5" t="s">
        <v>357</v>
      </c>
      <c r="B96" s="5" t="s">
        <v>428</v>
      </c>
      <c r="C96" s="5" t="s">
        <v>429</v>
      </c>
      <c r="D96" s="5" t="s">
        <v>477</v>
      </c>
      <c r="E96" s="5" t="s">
        <v>38</v>
      </c>
      <c r="F96" s="5" t="s">
        <v>356</v>
      </c>
      <c r="G96" s="5" t="s">
        <v>758</v>
      </c>
      <c r="H96" s="5" t="s">
        <v>347</v>
      </c>
      <c r="I96" s="7" t="n">
        <v>1</v>
      </c>
      <c r="J96" s="5" t="s">
        <v>354</v>
      </c>
      <c r="K96" s="6" t="s">
        <v>355</v>
      </c>
      <c r="L96" s="5"/>
      <c r="M96" s="5" t="s">
        <v>759</v>
      </c>
      <c r="N96" s="5"/>
      <c r="O96" s="5"/>
      <c r="P96" s="10" t="str">
        <f aca="false">IFERROR(IF(INDEX('Parts to price'!$M$2:$M$92,MATCH(J96,'Parts to price'!$A$2:$A$92,0))="","",INDEX('Parts to price'!$M$2:$M$92,MATCH(J96,'Parts to price'!$A$2:$A$92,0))),"")</f>
        <v/>
      </c>
      <c r="Q96" s="10" t="str">
        <f aca="false">IF(P96="","",P96*I96)</f>
        <v/>
      </c>
      <c r="R96" s="6" t="s">
        <v>760</v>
      </c>
    </row>
    <row r="97" customFormat="false" ht="79.85" hidden="false" customHeight="false" outlineLevel="0" collapsed="false">
      <c r="A97" s="5" t="s">
        <v>361</v>
      </c>
      <c r="B97" s="5" t="s">
        <v>428</v>
      </c>
      <c r="C97" s="5" t="s">
        <v>429</v>
      </c>
      <c r="D97" s="5" t="s">
        <v>430</v>
      </c>
      <c r="E97" s="5" t="s">
        <v>38</v>
      </c>
      <c r="F97" s="5" t="s">
        <v>46</v>
      </c>
      <c r="G97" s="5" t="s">
        <v>659</v>
      </c>
      <c r="H97" s="5" t="s">
        <v>360</v>
      </c>
      <c r="I97" s="7" t="n">
        <v>1</v>
      </c>
      <c r="J97" s="5" t="s">
        <v>358</v>
      </c>
      <c r="K97" s="6" t="s">
        <v>359</v>
      </c>
      <c r="L97" s="5"/>
      <c r="M97" s="5" t="s">
        <v>761</v>
      </c>
      <c r="N97" s="5" t="s">
        <v>603</v>
      </c>
      <c r="O97" s="5" t="s">
        <v>604</v>
      </c>
      <c r="P97" s="10" t="str">
        <f aca="false">IFERROR(IF(INDEX('Parts to price'!$M$2:$M$92,MATCH(J97,'Parts to price'!$A$2:$A$92,0))="","",INDEX('Parts to price'!$M$2:$M$92,MATCH(J97,'Parts to price'!$A$2:$A$92,0))),"")</f>
        <v/>
      </c>
      <c r="Q97" s="10" t="str">
        <f aca="false">IF(P97="","",P97*I97)</f>
        <v/>
      </c>
      <c r="R97" s="6" t="s">
        <v>762</v>
      </c>
    </row>
    <row r="98" customFormat="false" ht="79.85" hidden="false" customHeight="false" outlineLevel="0" collapsed="false">
      <c r="A98" s="5" t="s">
        <v>365</v>
      </c>
      <c r="B98" s="5" t="s">
        <v>428</v>
      </c>
      <c r="C98" s="5" t="s">
        <v>429</v>
      </c>
      <c r="D98" s="5" t="s">
        <v>477</v>
      </c>
      <c r="E98" s="5" t="s">
        <v>38</v>
      </c>
      <c r="F98" s="5" t="s">
        <v>37</v>
      </c>
      <c r="G98" s="5" t="s">
        <v>456</v>
      </c>
      <c r="H98" s="5" t="s">
        <v>364</v>
      </c>
      <c r="I98" s="7" t="n">
        <v>1</v>
      </c>
      <c r="J98" s="5" t="s">
        <v>362</v>
      </c>
      <c r="K98" s="6" t="s">
        <v>363</v>
      </c>
      <c r="L98" s="5"/>
      <c r="M98" s="5" t="s">
        <v>763</v>
      </c>
      <c r="N98" s="5"/>
      <c r="O98" s="5"/>
      <c r="P98" s="10" t="str">
        <f aca="false">IFERROR(IF(INDEX('Parts to price'!$M$2:$M$92,MATCH(J98,'Parts to price'!$A$2:$A$92,0))="","",INDEX('Parts to price'!$M$2:$M$92,MATCH(J98,'Parts to price'!$A$2:$A$92,0))),"")</f>
        <v/>
      </c>
      <c r="Q98" s="10" t="str">
        <f aca="false">IF(P98="","",P98*I98)</f>
        <v/>
      </c>
      <c r="R98" s="6" t="s">
        <v>764</v>
      </c>
    </row>
    <row r="99" customFormat="false" ht="46.25" hidden="false" customHeight="false" outlineLevel="0" collapsed="false">
      <c r="A99" s="5" t="s">
        <v>368</v>
      </c>
      <c r="B99" s="5" t="s">
        <v>428</v>
      </c>
      <c r="C99" s="5" t="s">
        <v>429</v>
      </c>
      <c r="D99" s="5" t="s">
        <v>430</v>
      </c>
      <c r="E99" s="5" t="s">
        <v>38</v>
      </c>
      <c r="F99" s="5" t="s">
        <v>46</v>
      </c>
      <c r="G99" s="5" t="s">
        <v>718</v>
      </c>
      <c r="H99" s="5" t="s">
        <v>338</v>
      </c>
      <c r="I99" s="7" t="n">
        <v>1</v>
      </c>
      <c r="J99" s="5" t="s">
        <v>366</v>
      </c>
      <c r="K99" s="6" t="s">
        <v>367</v>
      </c>
      <c r="L99" s="5"/>
      <c r="M99" s="5" t="s">
        <v>765</v>
      </c>
      <c r="N99" s="5" t="s">
        <v>766</v>
      </c>
      <c r="O99" s="5" t="s">
        <v>767</v>
      </c>
      <c r="P99" s="10" t="str">
        <f aca="false">IFERROR(IF(INDEX('Parts to price'!$M$2:$M$92,MATCH(J99,'Parts to price'!$A$2:$A$92,0))="","",INDEX('Parts to price'!$M$2:$M$92,MATCH(J99,'Parts to price'!$A$2:$A$92,0))),"")</f>
        <v/>
      </c>
      <c r="Q99" s="10" t="str">
        <f aca="false">IF(P99="","",P99*I99)</f>
        <v/>
      </c>
      <c r="R99" s="6" t="s">
        <v>768</v>
      </c>
    </row>
    <row r="100" customFormat="false" ht="57.45" hidden="false" customHeight="false" outlineLevel="0" collapsed="false">
      <c r="A100" s="5" t="s">
        <v>371</v>
      </c>
      <c r="B100" s="5" t="s">
        <v>428</v>
      </c>
      <c r="C100" s="5" t="s">
        <v>429</v>
      </c>
      <c r="D100" s="5" t="s">
        <v>430</v>
      </c>
      <c r="E100" s="5" t="s">
        <v>38</v>
      </c>
      <c r="F100" s="5" t="s">
        <v>46</v>
      </c>
      <c r="G100" s="5" t="s">
        <v>699</v>
      </c>
      <c r="H100" s="5" t="s">
        <v>259</v>
      </c>
      <c r="I100" s="7" t="n">
        <v>1</v>
      </c>
      <c r="J100" s="5" t="s">
        <v>369</v>
      </c>
      <c r="K100" s="6" t="s">
        <v>370</v>
      </c>
      <c r="L100" s="5"/>
      <c r="M100" s="5" t="s">
        <v>769</v>
      </c>
      <c r="N100" s="5" t="s">
        <v>770</v>
      </c>
      <c r="O100" s="5" t="s">
        <v>771</v>
      </c>
      <c r="P100" s="10" t="str">
        <f aca="false">IFERROR(IF(INDEX('Parts to price'!$M$2:$M$92,MATCH(J100,'Parts to price'!$A$2:$A$92,0))="","",INDEX('Parts to price'!$M$2:$M$92,MATCH(J100,'Parts to price'!$A$2:$A$92,0))),"")</f>
        <v/>
      </c>
      <c r="Q100" s="10" t="str">
        <f aca="false">IF(P100="","",P100*I100)</f>
        <v/>
      </c>
      <c r="R100" s="6" t="s">
        <v>772</v>
      </c>
    </row>
    <row r="101" customFormat="false" ht="68.65" hidden="false" customHeight="false" outlineLevel="0" collapsed="false">
      <c r="A101" s="5" t="s">
        <v>374</v>
      </c>
      <c r="B101" s="5" t="s">
        <v>454</v>
      </c>
      <c r="C101" s="5" t="s">
        <v>455</v>
      </c>
      <c r="D101" s="5" t="s">
        <v>430</v>
      </c>
      <c r="E101" s="5" t="s">
        <v>38</v>
      </c>
      <c r="F101" s="5" t="s">
        <v>46</v>
      </c>
      <c r="G101" s="5" t="s">
        <v>741</v>
      </c>
      <c r="H101" s="5" t="s">
        <v>347</v>
      </c>
      <c r="I101" s="7" t="n">
        <v>1</v>
      </c>
      <c r="J101" s="5" t="s">
        <v>372</v>
      </c>
      <c r="K101" s="6" t="s">
        <v>373</v>
      </c>
      <c r="L101" s="5"/>
      <c r="M101" s="5" t="s">
        <v>773</v>
      </c>
      <c r="N101" s="5" t="s">
        <v>593</v>
      </c>
      <c r="O101" s="5" t="s">
        <v>594</v>
      </c>
      <c r="P101" s="10" t="str">
        <f aca="false">IFERROR(IF(INDEX('Parts to price'!$M$2:$M$92,MATCH(J101,'Parts to price'!$A$2:$A$92,0))="","",INDEX('Parts to price'!$M$2:$M$92,MATCH(J101,'Parts to price'!$A$2:$A$92,0))),"")</f>
        <v/>
      </c>
      <c r="Q101" s="10" t="str">
        <f aca="false">IF(P101="","",P101*I101)</f>
        <v/>
      </c>
      <c r="R101" s="6" t="s">
        <v>774</v>
      </c>
    </row>
    <row r="102" customFormat="false" ht="79.85" hidden="false" customHeight="false" outlineLevel="0" collapsed="false">
      <c r="A102" s="5" t="s">
        <v>387</v>
      </c>
      <c r="B102" s="5" t="s">
        <v>454</v>
      </c>
      <c r="C102" s="5" t="s">
        <v>455</v>
      </c>
      <c r="D102" s="5" t="s">
        <v>430</v>
      </c>
      <c r="E102" s="5" t="s">
        <v>323</v>
      </c>
      <c r="F102" s="5" t="s">
        <v>386</v>
      </c>
      <c r="G102" s="5" t="s">
        <v>775</v>
      </c>
      <c r="H102" s="5" t="s">
        <v>54</v>
      </c>
      <c r="I102" s="7" t="n">
        <v>1</v>
      </c>
      <c r="J102" s="5" t="s">
        <v>384</v>
      </c>
      <c r="K102" s="6" t="s">
        <v>385</v>
      </c>
      <c r="L102" s="5"/>
      <c r="M102" s="5"/>
      <c r="N102" s="5" t="s">
        <v>776</v>
      </c>
      <c r="O102" s="5" t="s">
        <v>777</v>
      </c>
      <c r="P102" s="10" t="str">
        <f aca="false">IFERROR(IF(INDEX('Parts to price'!$M$2:$M$92,MATCH(J102,'Parts to price'!$A$2:$A$92,0))="","",INDEX('Parts to price'!$M$2:$M$92,MATCH(J102,'Parts to price'!$A$2:$A$92,0))),"")</f>
        <v/>
      </c>
      <c r="Q102" s="10" t="str">
        <f aca="false">IF(P102="","",P102*I102)</f>
        <v/>
      </c>
      <c r="R102" s="6" t="s">
        <v>778</v>
      </c>
    </row>
    <row r="103" customFormat="false" ht="68.65" hidden="false" customHeight="false" outlineLevel="0" collapsed="false">
      <c r="A103" s="5" t="s">
        <v>392</v>
      </c>
      <c r="B103" s="5" t="s">
        <v>454</v>
      </c>
      <c r="C103" s="5" t="s">
        <v>455</v>
      </c>
      <c r="D103" s="5" t="s">
        <v>430</v>
      </c>
      <c r="E103" s="5" t="s">
        <v>323</v>
      </c>
      <c r="F103" s="5" t="s">
        <v>390</v>
      </c>
      <c r="G103" s="5" t="s">
        <v>779</v>
      </c>
      <c r="H103" s="5" t="s">
        <v>391</v>
      </c>
      <c r="I103" s="7" t="n">
        <v>1</v>
      </c>
      <c r="J103" s="5" t="s">
        <v>388</v>
      </c>
      <c r="K103" s="6" t="s">
        <v>389</v>
      </c>
      <c r="L103" s="5"/>
      <c r="M103" s="5"/>
      <c r="N103" s="5" t="s">
        <v>780</v>
      </c>
      <c r="O103" s="5" t="s">
        <v>781</v>
      </c>
      <c r="P103" s="10" t="str">
        <f aca="false">IFERROR(IF(INDEX('Parts to price'!$M$2:$M$92,MATCH(J103,'Parts to price'!$A$2:$A$92,0))="","",INDEX('Parts to price'!$M$2:$M$92,MATCH(J103,'Parts to price'!$A$2:$A$92,0))),"")</f>
        <v/>
      </c>
      <c r="Q103" s="10" t="str">
        <f aca="false">IF(P103="","",P103*I103)</f>
        <v/>
      </c>
      <c r="R103" s="6" t="s">
        <v>782</v>
      </c>
    </row>
    <row r="104" customFormat="false" ht="79.85" hidden="false" customHeight="false" outlineLevel="0" collapsed="false">
      <c r="A104" s="5" t="s">
        <v>396</v>
      </c>
      <c r="B104" s="5" t="s">
        <v>511</v>
      </c>
      <c r="C104" s="5" t="s">
        <v>512</v>
      </c>
      <c r="D104" s="5" t="s">
        <v>430</v>
      </c>
      <c r="E104" s="5" t="s">
        <v>38</v>
      </c>
      <c r="F104" s="5" t="s">
        <v>37</v>
      </c>
      <c r="G104" s="5" t="s">
        <v>431</v>
      </c>
      <c r="H104" s="5" t="s">
        <v>395</v>
      </c>
      <c r="I104" s="7" t="n">
        <v>1</v>
      </c>
      <c r="J104" s="5" t="s">
        <v>393</v>
      </c>
      <c r="K104" s="6" t="s">
        <v>394</v>
      </c>
      <c r="L104" s="5"/>
      <c r="M104" s="5"/>
      <c r="N104" s="5" t="s">
        <v>783</v>
      </c>
      <c r="O104" s="5" t="s">
        <v>692</v>
      </c>
      <c r="P104" s="10" t="str">
        <f aca="false">IFERROR(IF(INDEX('Parts to price'!$M$2:$M$92,MATCH(J104,'Parts to price'!$A$2:$A$92,0))="","",INDEX('Parts to price'!$M$2:$M$92,MATCH(J104,'Parts to price'!$A$2:$A$92,0))),"")</f>
        <v/>
      </c>
      <c r="Q104" s="10" t="str">
        <f aca="false">IF(P104="","",P104*I104)</f>
        <v/>
      </c>
      <c r="R104" s="6" t="s">
        <v>784</v>
      </c>
    </row>
    <row r="105" customFormat="false" ht="15" hidden="false" customHeight="false" outlineLevel="0" collapsed="false">
      <c r="A105" s="5" t="s">
        <v>402</v>
      </c>
      <c r="B105" s="5" t="s">
        <v>785</v>
      </c>
      <c r="C105" s="5" t="s">
        <v>786</v>
      </c>
      <c r="D105" s="5" t="s">
        <v>430</v>
      </c>
      <c r="E105" s="5" t="s">
        <v>401</v>
      </c>
      <c r="F105" s="5" t="s">
        <v>400</v>
      </c>
      <c r="G105" s="5" t="s">
        <v>787</v>
      </c>
      <c r="H105" s="5" t="s">
        <v>304</v>
      </c>
      <c r="I105" s="7" t="n">
        <v>1</v>
      </c>
      <c r="J105" s="5" t="s">
        <v>397</v>
      </c>
      <c r="K105" s="6" t="s">
        <v>398</v>
      </c>
      <c r="L105" s="5"/>
      <c r="M105" s="5"/>
      <c r="N105" s="5" t="s">
        <v>788</v>
      </c>
      <c r="O105" s="5" t="s">
        <v>789</v>
      </c>
      <c r="P105" s="10" t="str">
        <f aca="false">IFERROR(IF(INDEX('Parts to price'!$M$2:$M$92,MATCH(J105,'Parts to price'!$A$2:$A$92,0))="","",INDEX('Parts to price'!$M$2:$M$92,MATCH(J105,'Parts to price'!$A$2:$A$92,0))),"")</f>
        <v/>
      </c>
      <c r="Q105" s="10" t="str">
        <f aca="false">IF(P105="","",P105*I105)</f>
        <v/>
      </c>
      <c r="R105" s="6" t="s">
        <v>790</v>
      </c>
    </row>
    <row r="106" customFormat="false" ht="57.45" hidden="false" customHeight="false" outlineLevel="0" collapsed="false">
      <c r="A106" s="5" t="s">
        <v>791</v>
      </c>
      <c r="B106" s="5" t="s">
        <v>428</v>
      </c>
      <c r="C106" s="5" t="s">
        <v>429</v>
      </c>
      <c r="D106" s="5" t="s">
        <v>430</v>
      </c>
      <c r="E106" s="5" t="s">
        <v>38</v>
      </c>
      <c r="F106" s="5" t="s">
        <v>46</v>
      </c>
      <c r="G106" s="5" t="s">
        <v>431</v>
      </c>
      <c r="H106" s="5" t="s">
        <v>47</v>
      </c>
      <c r="I106" s="7" t="n">
        <v>1</v>
      </c>
      <c r="J106" s="5" t="s">
        <v>42</v>
      </c>
      <c r="K106" s="6" t="s">
        <v>44</v>
      </c>
      <c r="L106" s="5"/>
      <c r="M106" s="5"/>
      <c r="N106" s="5" t="s">
        <v>792</v>
      </c>
      <c r="O106" s="5" t="s">
        <v>793</v>
      </c>
      <c r="P106" s="10" t="str">
        <f aca="false">IFERROR(IF(INDEX('Parts to price'!$M$2:$M$92,MATCH(J106,'Parts to price'!$A$2:$A$92,0))="","",INDEX('Parts to price'!$M$2:$M$92,MATCH(J106,'Parts to price'!$A$2:$A$92,0))),"")</f>
        <v/>
      </c>
      <c r="Q106" s="10" t="str">
        <f aca="false">IF(P106="","",P106*I106)</f>
        <v/>
      </c>
      <c r="R106" s="6" t="s">
        <v>794</v>
      </c>
    </row>
    <row r="107" customFormat="false" ht="57.45" hidden="false" customHeight="false" outlineLevel="0" collapsed="false">
      <c r="A107" s="5" t="s">
        <v>795</v>
      </c>
      <c r="B107" s="5" t="s">
        <v>454</v>
      </c>
      <c r="C107" s="5" t="s">
        <v>455</v>
      </c>
      <c r="D107" s="5" t="s">
        <v>430</v>
      </c>
      <c r="E107" s="5" t="s">
        <v>38</v>
      </c>
      <c r="F107" s="5" t="s">
        <v>46</v>
      </c>
      <c r="G107" s="5" t="s">
        <v>718</v>
      </c>
      <c r="H107" s="5" t="s">
        <v>47</v>
      </c>
      <c r="I107" s="7" t="n">
        <v>1</v>
      </c>
      <c r="J107" s="5" t="s">
        <v>42</v>
      </c>
      <c r="K107" s="6" t="s">
        <v>44</v>
      </c>
      <c r="L107" s="5"/>
      <c r="M107" s="5"/>
      <c r="N107" s="5" t="s">
        <v>792</v>
      </c>
      <c r="O107" s="5" t="s">
        <v>793</v>
      </c>
      <c r="P107" s="10" t="str">
        <f aca="false">IFERROR(IF(INDEX('Parts to price'!$M$2:$M$92,MATCH(J107,'Parts to price'!$A$2:$A$92,0))="","",INDEX('Parts to price'!$M$2:$M$92,MATCH(J107,'Parts to price'!$A$2:$A$92,0))),"")</f>
        <v/>
      </c>
      <c r="Q107" s="10" t="str">
        <f aca="false">IF(P107="","",P107*I107)</f>
        <v/>
      </c>
      <c r="R107" s="6" t="s">
        <v>796</v>
      </c>
    </row>
    <row r="108" customFormat="false" ht="68.65" hidden="false" customHeight="false" outlineLevel="0" collapsed="false">
      <c r="A108" s="5" t="s">
        <v>797</v>
      </c>
      <c r="B108" s="5" t="s">
        <v>454</v>
      </c>
      <c r="C108" s="5" t="s">
        <v>455</v>
      </c>
      <c r="D108" s="5" t="s">
        <v>430</v>
      </c>
      <c r="E108" s="5" t="s">
        <v>38</v>
      </c>
      <c r="F108" s="5" t="s">
        <v>46</v>
      </c>
      <c r="G108" s="5" t="s">
        <v>436</v>
      </c>
      <c r="H108" s="5" t="s">
        <v>798</v>
      </c>
      <c r="I108" s="7" t="n">
        <v>1</v>
      </c>
      <c r="J108" s="5" t="s">
        <v>42</v>
      </c>
      <c r="K108" s="6" t="s">
        <v>44</v>
      </c>
      <c r="L108" s="5"/>
      <c r="M108" s="5"/>
      <c r="N108" s="5" t="s">
        <v>792</v>
      </c>
      <c r="O108" s="5" t="s">
        <v>793</v>
      </c>
      <c r="P108" s="10" t="str">
        <f aca="false">IFERROR(IF(INDEX('Parts to price'!$M$2:$M$92,MATCH(J108,'Parts to price'!$A$2:$A$92,0))="","",INDEX('Parts to price'!$M$2:$M$92,MATCH(J108,'Parts to price'!$A$2:$A$92,0))),"")</f>
        <v/>
      </c>
      <c r="Q108" s="10" t="str">
        <f aca="false">IF(P108="","",P108*I108)</f>
        <v/>
      </c>
      <c r="R108" s="6" t="s">
        <v>799</v>
      </c>
    </row>
    <row r="109" customFormat="false" ht="68.65" hidden="false" customHeight="false" outlineLevel="0" collapsed="false">
      <c r="A109" s="5" t="s">
        <v>800</v>
      </c>
      <c r="B109" s="5" t="s">
        <v>454</v>
      </c>
      <c r="C109" s="5" t="s">
        <v>455</v>
      </c>
      <c r="D109" s="5" t="s">
        <v>430</v>
      </c>
      <c r="E109" s="5" t="s">
        <v>38</v>
      </c>
      <c r="F109" s="5" t="s">
        <v>46</v>
      </c>
      <c r="G109" s="5" t="s">
        <v>588</v>
      </c>
      <c r="H109" s="5" t="s">
        <v>801</v>
      </c>
      <c r="I109" s="7" t="n">
        <v>1</v>
      </c>
      <c r="J109" s="5" t="s">
        <v>42</v>
      </c>
      <c r="K109" s="6" t="s">
        <v>44</v>
      </c>
      <c r="L109" s="5"/>
      <c r="M109" s="5"/>
      <c r="N109" s="5" t="s">
        <v>792</v>
      </c>
      <c r="O109" s="5" t="s">
        <v>793</v>
      </c>
      <c r="P109" s="10" t="str">
        <f aca="false">IFERROR(IF(INDEX('Parts to price'!$M$2:$M$92,MATCH(J109,'Parts to price'!$A$2:$A$92,0))="","",INDEX('Parts to price'!$M$2:$M$92,MATCH(J109,'Parts to price'!$A$2:$A$92,0))),"")</f>
        <v/>
      </c>
      <c r="Q109" s="10" t="str">
        <f aca="false">IF(P109="","",P109*I109)</f>
        <v/>
      </c>
      <c r="R109" s="6" t="s">
        <v>802</v>
      </c>
    </row>
    <row r="110" customFormat="false" ht="57.45" hidden="false" customHeight="false" outlineLevel="0" collapsed="false">
      <c r="A110" s="5" t="s">
        <v>803</v>
      </c>
      <c r="B110" s="5" t="s">
        <v>454</v>
      </c>
      <c r="C110" s="5" t="s">
        <v>455</v>
      </c>
      <c r="D110" s="5" t="s">
        <v>430</v>
      </c>
      <c r="E110" s="5" t="s">
        <v>38</v>
      </c>
      <c r="F110" s="5" t="s">
        <v>46</v>
      </c>
      <c r="G110" s="5" t="s">
        <v>646</v>
      </c>
      <c r="H110" s="5" t="s">
        <v>48</v>
      </c>
      <c r="I110" s="7" t="n">
        <v>1</v>
      </c>
      <c r="J110" s="5" t="s">
        <v>42</v>
      </c>
      <c r="K110" s="6" t="s">
        <v>44</v>
      </c>
      <c r="L110" s="5"/>
      <c r="M110" s="5"/>
      <c r="N110" s="5" t="s">
        <v>792</v>
      </c>
      <c r="O110" s="5" t="s">
        <v>793</v>
      </c>
      <c r="P110" s="10" t="str">
        <f aca="false">IFERROR(IF(INDEX('Parts to price'!$M$2:$M$92,MATCH(J110,'Parts to price'!$A$2:$A$92,0))="","",INDEX('Parts to price'!$M$2:$M$92,MATCH(J110,'Parts to price'!$A$2:$A$92,0))),"")</f>
        <v/>
      </c>
      <c r="Q110" s="10" t="str">
        <f aca="false">IF(P110="","",P110*I110)</f>
        <v/>
      </c>
      <c r="R110" s="6" t="s">
        <v>804</v>
      </c>
    </row>
    <row r="111" customFormat="false" ht="15" hidden="false" customHeight="false" outlineLevel="0" collapsed="false">
      <c r="A111" s="5" t="s">
        <v>406</v>
      </c>
      <c r="B111" s="5" t="s">
        <v>785</v>
      </c>
      <c r="C111" s="5" t="s">
        <v>786</v>
      </c>
      <c r="D111" s="5" t="s">
        <v>430</v>
      </c>
      <c r="E111" s="5" t="s">
        <v>401</v>
      </c>
      <c r="F111" s="5" t="s">
        <v>405</v>
      </c>
      <c r="G111" s="5" t="s">
        <v>805</v>
      </c>
      <c r="H111" s="5" t="s">
        <v>391</v>
      </c>
      <c r="I111" s="7" t="n">
        <v>1</v>
      </c>
      <c r="J111" s="5" t="s">
        <v>403</v>
      </c>
      <c r="K111" s="6" t="s">
        <v>404</v>
      </c>
      <c r="L111" s="5"/>
      <c r="M111" s="5"/>
      <c r="N111" s="5" t="s">
        <v>806</v>
      </c>
      <c r="O111" s="5" t="s">
        <v>807</v>
      </c>
      <c r="P111" s="10" t="str">
        <f aca="false">IFERROR(IF(INDEX('Parts to price'!$M$2:$M$92,MATCH(J111,'Parts to price'!$A$2:$A$92,0))="","",INDEX('Parts to price'!$M$2:$M$92,MATCH(J111,'Parts to price'!$A$2:$A$92,0))),"")</f>
        <v/>
      </c>
      <c r="Q111" s="10" t="str">
        <f aca="false">IF(P111="","",P111*I111)</f>
        <v/>
      </c>
      <c r="R111" s="6" t="s">
        <v>808</v>
      </c>
    </row>
    <row r="112" customFormat="false" ht="79.85" hidden="false" customHeight="false" outlineLevel="0" collapsed="false">
      <c r="A112" s="5" t="s">
        <v>278</v>
      </c>
      <c r="B112" s="5" t="s">
        <v>511</v>
      </c>
      <c r="C112" s="5" t="s">
        <v>512</v>
      </c>
      <c r="D112" s="5" t="s">
        <v>430</v>
      </c>
      <c r="E112" s="5" t="s">
        <v>38</v>
      </c>
      <c r="F112" s="5" t="s">
        <v>133</v>
      </c>
      <c r="G112" s="5" t="s">
        <v>456</v>
      </c>
      <c r="H112" s="5" t="s">
        <v>277</v>
      </c>
      <c r="I112" s="7" t="n">
        <v>1</v>
      </c>
      <c r="J112" s="5" t="s">
        <v>275</v>
      </c>
      <c r="K112" s="6" t="s">
        <v>276</v>
      </c>
      <c r="L112" s="5" t="s">
        <v>275</v>
      </c>
      <c r="M112" s="5"/>
      <c r="N112" s="5" t="s">
        <v>712</v>
      </c>
      <c r="O112" s="5" t="s">
        <v>713</v>
      </c>
      <c r="P112" s="10" t="str">
        <f aca="false">IFERROR(IF(INDEX('Parts to price'!$M$2:$M$92,MATCH(J112,'Parts to price'!$A$2:$A$92,0))="","",INDEX('Parts to price'!$M$2:$M$92,MATCH(J112,'Parts to price'!$A$2:$A$92,0))),"")</f>
        <v/>
      </c>
      <c r="Q112" s="10" t="str">
        <f aca="false">IF(P112="","",P112*I112)</f>
        <v/>
      </c>
      <c r="R112" s="6" t="s">
        <v>809</v>
      </c>
    </row>
    <row r="113" customFormat="false" ht="68.65" hidden="false" customHeight="false" outlineLevel="0" collapsed="false">
      <c r="A113" s="5" t="s">
        <v>282</v>
      </c>
      <c r="B113" s="5" t="s">
        <v>511</v>
      </c>
      <c r="C113" s="5" t="s">
        <v>512</v>
      </c>
      <c r="D113" s="5" t="s">
        <v>430</v>
      </c>
      <c r="E113" s="5" t="s">
        <v>38</v>
      </c>
      <c r="F113" s="5" t="s">
        <v>37</v>
      </c>
      <c r="G113" s="5" t="s">
        <v>456</v>
      </c>
      <c r="H113" s="5" t="s">
        <v>281</v>
      </c>
      <c r="I113" s="7" t="n">
        <v>1</v>
      </c>
      <c r="J113" s="5" t="s">
        <v>279</v>
      </c>
      <c r="K113" s="6" t="s">
        <v>280</v>
      </c>
      <c r="L113" s="5" t="s">
        <v>279</v>
      </c>
      <c r="M113" s="5"/>
      <c r="N113" s="5" t="s">
        <v>708</v>
      </c>
      <c r="O113" s="5" t="s">
        <v>709</v>
      </c>
      <c r="P113" s="10" t="str">
        <f aca="false">IFERROR(IF(INDEX('Parts to price'!$M$2:$M$92,MATCH(J113,'Parts to price'!$A$2:$A$92,0))="","",INDEX('Parts to price'!$M$2:$M$92,MATCH(J113,'Parts to price'!$A$2:$A$92,0))),"")</f>
        <v/>
      </c>
      <c r="Q113" s="10" t="str">
        <f aca="false">IF(P113="","",P113*I113)</f>
        <v/>
      </c>
      <c r="R113" s="6" t="s">
        <v>810</v>
      </c>
    </row>
    <row r="114" customFormat="false" ht="79.85" hidden="false" customHeight="false" outlineLevel="0" collapsed="false">
      <c r="A114" s="5" t="s">
        <v>811</v>
      </c>
      <c r="B114" s="5" t="s">
        <v>428</v>
      </c>
      <c r="C114" s="5" t="s">
        <v>429</v>
      </c>
      <c r="D114" s="5" t="s">
        <v>430</v>
      </c>
      <c r="E114" s="5" t="s">
        <v>38</v>
      </c>
      <c r="F114" s="5" t="s">
        <v>37</v>
      </c>
      <c r="G114" s="5" t="s">
        <v>441</v>
      </c>
      <c r="H114" s="5" t="s">
        <v>39</v>
      </c>
      <c r="I114" s="7" t="n">
        <v>1</v>
      </c>
      <c r="J114" s="5" t="s">
        <v>33</v>
      </c>
      <c r="K114" s="6" t="s">
        <v>812</v>
      </c>
      <c r="L114" s="5" t="s">
        <v>33</v>
      </c>
      <c r="M114" s="5" t="s">
        <v>813</v>
      </c>
      <c r="N114" s="5" t="s">
        <v>630</v>
      </c>
      <c r="O114" s="5" t="s">
        <v>631</v>
      </c>
      <c r="P114" s="10" t="str">
        <f aca="false">IFERROR(IF(INDEX('Parts to price'!$M$2:$M$92,MATCH(J114,'Parts to price'!$A$2:$A$92,0))="","",INDEX('Parts to price'!$M$2:$M$92,MATCH(J114,'Parts to price'!$A$2:$A$92,0))),"")</f>
        <v/>
      </c>
      <c r="Q114" s="10" t="str">
        <f aca="false">IF(P114="","",P114*I114)</f>
        <v/>
      </c>
      <c r="R114" s="6" t="s">
        <v>814</v>
      </c>
    </row>
    <row r="115" customFormat="false" ht="57.45" hidden="false" customHeight="false" outlineLevel="0" collapsed="false">
      <c r="A115" s="5" t="s">
        <v>815</v>
      </c>
      <c r="B115" s="5" t="s">
        <v>454</v>
      </c>
      <c r="C115" s="5" t="s">
        <v>455</v>
      </c>
      <c r="D115" s="5" t="s">
        <v>430</v>
      </c>
      <c r="E115" s="5" t="s">
        <v>38</v>
      </c>
      <c r="F115" s="5" t="s">
        <v>37</v>
      </c>
      <c r="G115" s="5" t="s">
        <v>480</v>
      </c>
      <c r="H115" s="5" t="s">
        <v>816</v>
      </c>
      <c r="I115" s="7" t="n">
        <v>1</v>
      </c>
      <c r="J115" s="5" t="s">
        <v>33</v>
      </c>
      <c r="K115" s="6" t="s">
        <v>812</v>
      </c>
      <c r="L115" s="5" t="s">
        <v>33</v>
      </c>
      <c r="M115" s="5"/>
      <c r="N115" s="5" t="s">
        <v>630</v>
      </c>
      <c r="O115" s="5" t="s">
        <v>631</v>
      </c>
      <c r="P115" s="10" t="str">
        <f aca="false">IFERROR(IF(INDEX('Parts to price'!$M$2:$M$92,MATCH(J115,'Parts to price'!$A$2:$A$92,0))="","",INDEX('Parts to price'!$M$2:$M$92,MATCH(J115,'Parts to price'!$A$2:$A$92,0))),"")</f>
        <v/>
      </c>
      <c r="Q115" s="10" t="str">
        <f aca="false">IF(P115="","",P115*I115)</f>
        <v/>
      </c>
      <c r="R115" s="6" t="s">
        <v>817</v>
      </c>
    </row>
    <row r="116" customFormat="false" ht="79.85" hidden="false" customHeight="false" outlineLevel="0" collapsed="false">
      <c r="A116" s="5" t="s">
        <v>818</v>
      </c>
      <c r="B116" s="5" t="s">
        <v>428</v>
      </c>
      <c r="C116" s="5" t="s">
        <v>429</v>
      </c>
      <c r="D116" s="5" t="s">
        <v>430</v>
      </c>
      <c r="E116" s="5" t="s">
        <v>38</v>
      </c>
      <c r="F116" s="5" t="s">
        <v>37</v>
      </c>
      <c r="G116" s="5" t="s">
        <v>447</v>
      </c>
      <c r="H116" s="5" t="s">
        <v>72</v>
      </c>
      <c r="I116" s="7" t="n">
        <v>1</v>
      </c>
      <c r="J116" s="5" t="s">
        <v>33</v>
      </c>
      <c r="K116" s="6" t="s">
        <v>819</v>
      </c>
      <c r="L116" s="5" t="s">
        <v>33</v>
      </c>
      <c r="M116" s="5" t="s">
        <v>449</v>
      </c>
      <c r="N116" s="5"/>
      <c r="O116" s="5"/>
      <c r="P116" s="10" t="str">
        <f aca="false">IFERROR(IF(INDEX('Parts to price'!$M$2:$M$92,MATCH(J116,'Parts to price'!$A$2:$A$92,0))="","",INDEX('Parts to price'!$M$2:$M$92,MATCH(J116,'Parts to price'!$A$2:$A$92,0))),"")</f>
        <v/>
      </c>
      <c r="Q116" s="10" t="str">
        <f aca="false">IF(P116="","",P116*I116)</f>
        <v/>
      </c>
      <c r="R116" s="6" t="s">
        <v>820</v>
      </c>
    </row>
    <row r="117" customFormat="false" ht="68.65" hidden="false" customHeight="false" outlineLevel="0" collapsed="false">
      <c r="A117" s="5" t="s">
        <v>821</v>
      </c>
      <c r="B117" s="5" t="s">
        <v>428</v>
      </c>
      <c r="C117" s="5" t="s">
        <v>429</v>
      </c>
      <c r="D117" s="5" t="s">
        <v>430</v>
      </c>
      <c r="E117" s="5" t="s">
        <v>38</v>
      </c>
      <c r="F117" s="5" t="s">
        <v>37</v>
      </c>
      <c r="G117" s="5" t="s">
        <v>472</v>
      </c>
      <c r="H117" s="5" t="s">
        <v>64</v>
      </c>
      <c r="I117" s="7" t="n">
        <v>1</v>
      </c>
      <c r="J117" s="5" t="s">
        <v>33</v>
      </c>
      <c r="K117" s="6" t="s">
        <v>35</v>
      </c>
      <c r="L117" s="5" t="s">
        <v>33</v>
      </c>
      <c r="M117" s="5"/>
      <c r="N117" s="5" t="s">
        <v>630</v>
      </c>
      <c r="O117" s="5" t="s">
        <v>631</v>
      </c>
      <c r="P117" s="10" t="str">
        <f aca="false">IFERROR(IF(INDEX('Parts to price'!$M$2:$M$92,MATCH(J117,'Parts to price'!$A$2:$A$92,0))="","",INDEX('Parts to price'!$M$2:$M$92,MATCH(J117,'Parts to price'!$A$2:$A$92,0))),"")</f>
        <v/>
      </c>
      <c r="Q117" s="10" t="str">
        <f aca="false">IF(P117="","",P117*I117)</f>
        <v/>
      </c>
      <c r="R117" s="6" t="s">
        <v>822</v>
      </c>
    </row>
    <row r="118" customFormat="false" ht="68.65" hidden="false" customHeight="false" outlineLevel="0" collapsed="false">
      <c r="A118" s="5" t="s">
        <v>823</v>
      </c>
      <c r="B118" s="5" t="s">
        <v>428</v>
      </c>
      <c r="C118" s="5" t="s">
        <v>429</v>
      </c>
      <c r="D118" s="5" t="s">
        <v>430</v>
      </c>
      <c r="E118" s="5" t="s">
        <v>38</v>
      </c>
      <c r="F118" s="5" t="s">
        <v>37</v>
      </c>
      <c r="G118" s="5" t="s">
        <v>452</v>
      </c>
      <c r="H118" s="5" t="s">
        <v>40</v>
      </c>
      <c r="I118" s="7" t="n">
        <v>1</v>
      </c>
      <c r="J118" s="5" t="s">
        <v>33</v>
      </c>
      <c r="K118" s="6" t="s">
        <v>35</v>
      </c>
      <c r="L118" s="5" t="s">
        <v>33</v>
      </c>
      <c r="M118" s="5" t="s">
        <v>449</v>
      </c>
      <c r="N118" s="5" t="s">
        <v>630</v>
      </c>
      <c r="O118" s="5" t="s">
        <v>631</v>
      </c>
      <c r="P118" s="10" t="str">
        <f aca="false">IFERROR(IF(INDEX('Parts to price'!$M$2:$M$92,MATCH(J118,'Parts to price'!$A$2:$A$92,0))="","",INDEX('Parts to price'!$M$2:$M$92,MATCH(J118,'Parts to price'!$A$2:$A$92,0))),"")</f>
        <v/>
      </c>
      <c r="Q118" s="10" t="str">
        <f aca="false">IF(P118="","",P118*I118)</f>
        <v/>
      </c>
      <c r="R118" s="6" t="s">
        <v>824</v>
      </c>
    </row>
    <row r="119" customFormat="false" ht="79.85" hidden="false" customHeight="false" outlineLevel="0" collapsed="false">
      <c r="A119" s="5" t="s">
        <v>286</v>
      </c>
      <c r="B119" s="5" t="s">
        <v>428</v>
      </c>
      <c r="C119" s="5" t="s">
        <v>429</v>
      </c>
      <c r="D119" s="5" t="s">
        <v>430</v>
      </c>
      <c r="E119" s="5" t="s">
        <v>38</v>
      </c>
      <c r="F119" s="5" t="s">
        <v>37</v>
      </c>
      <c r="G119" s="5" t="s">
        <v>825</v>
      </c>
      <c r="H119" s="5" t="s">
        <v>285</v>
      </c>
      <c r="I119" s="7" t="n">
        <v>1</v>
      </c>
      <c r="J119" s="5" t="s">
        <v>283</v>
      </c>
      <c r="K119" s="6" t="s">
        <v>284</v>
      </c>
      <c r="L119" s="5" t="s">
        <v>283</v>
      </c>
      <c r="M119" s="5" t="s">
        <v>826</v>
      </c>
      <c r="N119" s="5"/>
      <c r="O119" s="5"/>
      <c r="P119" s="10" t="str">
        <f aca="false">IFERROR(IF(INDEX('Parts to price'!$M$2:$M$92,MATCH(J119,'Parts to price'!$A$2:$A$92,0))="","",INDEX('Parts to price'!$M$2:$M$92,MATCH(J119,'Parts to price'!$A$2:$A$92,0))),"")</f>
        <v/>
      </c>
      <c r="Q119" s="10" t="str">
        <f aca="false">IF(P119="","",P119*I119)</f>
        <v/>
      </c>
      <c r="R119" s="6" t="s">
        <v>827</v>
      </c>
    </row>
    <row r="120" customFormat="false" ht="79.85" hidden="false" customHeight="false" outlineLevel="0" collapsed="false">
      <c r="A120" s="5" t="s">
        <v>828</v>
      </c>
      <c r="B120" s="5" t="s">
        <v>428</v>
      </c>
      <c r="C120" s="5" t="s">
        <v>429</v>
      </c>
      <c r="D120" s="5" t="s">
        <v>430</v>
      </c>
      <c r="E120" s="5" t="s">
        <v>38</v>
      </c>
      <c r="F120" s="5" t="s">
        <v>46</v>
      </c>
      <c r="G120" s="5" t="s">
        <v>506</v>
      </c>
      <c r="H120" s="5" t="s">
        <v>128</v>
      </c>
      <c r="I120" s="7" t="n">
        <v>1</v>
      </c>
      <c r="J120" s="5" t="s">
        <v>137</v>
      </c>
      <c r="K120" s="6" t="s">
        <v>829</v>
      </c>
      <c r="L120" s="5" t="s">
        <v>137</v>
      </c>
      <c r="M120" s="5" t="s">
        <v>749</v>
      </c>
      <c r="N120" s="5" t="s">
        <v>499</v>
      </c>
      <c r="O120" s="5" t="s">
        <v>500</v>
      </c>
      <c r="P120" s="10" t="str">
        <f aca="false">IFERROR(IF(INDEX('Parts to price'!$M$2:$M$92,MATCH(J120,'Parts to price'!$A$2:$A$92,0))="","",INDEX('Parts to price'!$M$2:$M$92,MATCH(J120,'Parts to price'!$A$2:$A$92,0))),"")</f>
        <v/>
      </c>
      <c r="Q120" s="10" t="str">
        <f aca="false">IF(P120="","",P120*I120)</f>
        <v/>
      </c>
      <c r="R120" s="6" t="s">
        <v>830</v>
      </c>
    </row>
    <row r="121" customFormat="false" ht="57.45" hidden="false" customHeight="false" outlineLevel="0" collapsed="false">
      <c r="A121" s="5" t="s">
        <v>831</v>
      </c>
      <c r="B121" s="5" t="s">
        <v>454</v>
      </c>
      <c r="C121" s="5" t="s">
        <v>455</v>
      </c>
      <c r="D121" s="5" t="s">
        <v>430</v>
      </c>
      <c r="E121" s="5" t="s">
        <v>38</v>
      </c>
      <c r="F121" s="5" t="s">
        <v>46</v>
      </c>
      <c r="G121" s="5" t="s">
        <v>718</v>
      </c>
      <c r="H121" s="5" t="s">
        <v>73</v>
      </c>
      <c r="I121" s="7" t="n">
        <v>1</v>
      </c>
      <c r="J121" s="5" t="s">
        <v>137</v>
      </c>
      <c r="K121" s="6" t="s">
        <v>138</v>
      </c>
      <c r="L121" s="5" t="s">
        <v>137</v>
      </c>
      <c r="M121" s="5"/>
      <c r="N121" s="5" t="s">
        <v>499</v>
      </c>
      <c r="O121" s="5" t="s">
        <v>500</v>
      </c>
      <c r="P121" s="10" t="str">
        <f aca="false">IFERROR(IF(INDEX('Parts to price'!$M$2:$M$92,MATCH(J121,'Parts to price'!$A$2:$A$92,0))="","",INDEX('Parts to price'!$M$2:$M$92,MATCH(J121,'Parts to price'!$A$2:$A$92,0))),"")</f>
        <v/>
      </c>
      <c r="Q121" s="10" t="str">
        <f aca="false">IF(P121="","",P121*I121)</f>
        <v/>
      </c>
      <c r="R121" s="6" t="s">
        <v>832</v>
      </c>
    </row>
    <row r="122" customFormat="false" ht="68.65" hidden="false" customHeight="false" outlineLevel="0" collapsed="false">
      <c r="A122" s="5" t="s">
        <v>409</v>
      </c>
      <c r="B122" s="5" t="s">
        <v>511</v>
      </c>
      <c r="C122" s="5" t="s">
        <v>512</v>
      </c>
      <c r="D122" s="5" t="s">
        <v>430</v>
      </c>
      <c r="E122" s="5" t="s">
        <v>71</v>
      </c>
      <c r="F122" s="5" t="s">
        <v>81</v>
      </c>
      <c r="G122" s="5" t="s">
        <v>833</v>
      </c>
      <c r="H122" s="5" t="s">
        <v>59</v>
      </c>
      <c r="I122" s="7" t="n">
        <v>1</v>
      </c>
      <c r="J122" s="5" t="s">
        <v>407</v>
      </c>
      <c r="K122" s="6" t="s">
        <v>408</v>
      </c>
      <c r="L122" s="5"/>
      <c r="M122" s="5"/>
      <c r="N122" s="5"/>
      <c r="O122" s="5"/>
      <c r="P122" s="10" t="str">
        <f aca="false">IFERROR(IF(INDEX('Parts to price'!$M$2:$M$92,MATCH(J122,'Parts to price'!$A$2:$A$92,0))="","",INDEX('Parts to price'!$M$2:$M$92,MATCH(J122,'Parts to price'!$A$2:$A$92,0))),"")</f>
        <v/>
      </c>
      <c r="Q122" s="10" t="str">
        <f aca="false">IF(P122="","",P122*I122)</f>
        <v/>
      </c>
      <c r="R122" s="6" t="s">
        <v>834</v>
      </c>
    </row>
    <row r="123" customFormat="false" ht="57.45" hidden="false" customHeight="false" outlineLevel="0" collapsed="false">
      <c r="A123" s="5" t="s">
        <v>412</v>
      </c>
      <c r="B123" s="5" t="s">
        <v>511</v>
      </c>
      <c r="C123" s="5" t="s">
        <v>512</v>
      </c>
      <c r="D123" s="5" t="s">
        <v>430</v>
      </c>
      <c r="E123" s="5" t="s">
        <v>71</v>
      </c>
      <c r="F123" s="5" t="s">
        <v>143</v>
      </c>
      <c r="G123" s="5" t="s">
        <v>835</v>
      </c>
      <c r="H123" s="5" t="s">
        <v>65</v>
      </c>
      <c r="I123" s="7" t="n">
        <v>1</v>
      </c>
      <c r="J123" s="5" t="s">
        <v>410</v>
      </c>
      <c r="K123" s="6" t="s">
        <v>411</v>
      </c>
      <c r="L123" s="5"/>
      <c r="M123" s="5"/>
      <c r="N123" s="5" t="s">
        <v>514</v>
      </c>
      <c r="O123" s="5" t="s">
        <v>515</v>
      </c>
      <c r="P123" s="10" t="str">
        <f aca="false">IFERROR(IF(INDEX('Parts to price'!$M$2:$M$92,MATCH(J123,'Parts to price'!$A$2:$A$92,0))="","",INDEX('Parts to price'!$M$2:$M$92,MATCH(J123,'Parts to price'!$A$2:$A$92,0))),"")</f>
        <v/>
      </c>
      <c r="Q123" s="10" t="str">
        <f aca="false">IF(P123="","",P123*I123)</f>
        <v/>
      </c>
      <c r="R123" s="6" t="s">
        <v>836</v>
      </c>
    </row>
    <row r="124" customFormat="false" ht="79.85" hidden="false" customHeight="false" outlineLevel="0" collapsed="false">
      <c r="A124" s="5" t="s">
        <v>290</v>
      </c>
      <c r="B124" s="5" t="s">
        <v>511</v>
      </c>
      <c r="C124" s="5" t="s">
        <v>512</v>
      </c>
      <c r="D124" s="5" t="s">
        <v>837</v>
      </c>
      <c r="E124" s="5" t="s">
        <v>71</v>
      </c>
      <c r="F124" s="5" t="s">
        <v>81</v>
      </c>
      <c r="G124" s="5" t="s">
        <v>838</v>
      </c>
      <c r="H124" s="5" t="s">
        <v>289</v>
      </c>
      <c r="I124" s="7" t="n">
        <v>1</v>
      </c>
      <c r="J124" s="5" t="s">
        <v>287</v>
      </c>
      <c r="K124" s="6" t="s">
        <v>288</v>
      </c>
      <c r="L124" s="5" t="s">
        <v>839</v>
      </c>
      <c r="M124" s="5" t="s">
        <v>840</v>
      </c>
      <c r="N124" s="5" t="s">
        <v>841</v>
      </c>
      <c r="O124" s="5" t="s">
        <v>842</v>
      </c>
      <c r="P124" s="10" t="str">
        <f aca="false">IFERROR(IF(INDEX('Parts to price'!$M$2:$M$92,MATCH(J124,'Parts to price'!$A$2:$A$92,0))="","",INDEX('Parts to price'!$M$2:$M$92,MATCH(J124,'Parts to price'!$A$2:$A$92,0))),"")</f>
        <v/>
      </c>
      <c r="Q124" s="10" t="str">
        <f aca="false">IF(P124="","",P124*I124)</f>
        <v/>
      </c>
      <c r="R124" s="6" t="s">
        <v>843</v>
      </c>
    </row>
    <row r="125" customFormat="false" ht="79.85" hidden="false" customHeight="false" outlineLevel="0" collapsed="false">
      <c r="A125" s="5" t="s">
        <v>294</v>
      </c>
      <c r="B125" s="5" t="s">
        <v>511</v>
      </c>
      <c r="C125" s="5" t="s">
        <v>512</v>
      </c>
      <c r="D125" s="5" t="s">
        <v>837</v>
      </c>
      <c r="E125" s="5" t="s">
        <v>71</v>
      </c>
      <c r="F125" s="5" t="s">
        <v>81</v>
      </c>
      <c r="G125" s="5" t="s">
        <v>838</v>
      </c>
      <c r="H125" s="5" t="s">
        <v>293</v>
      </c>
      <c r="I125" s="7" t="n">
        <v>1</v>
      </c>
      <c r="J125" s="5" t="s">
        <v>291</v>
      </c>
      <c r="K125" s="6" t="s">
        <v>292</v>
      </c>
      <c r="L125" s="5" t="s">
        <v>844</v>
      </c>
      <c r="M125" s="5" t="s">
        <v>845</v>
      </c>
      <c r="N125" s="5"/>
      <c r="O125" s="5"/>
      <c r="P125" s="10" t="str">
        <f aca="false">IFERROR(IF(INDEX('Parts to price'!$M$2:$M$92,MATCH(J125,'Parts to price'!$A$2:$A$92,0))="","",INDEX('Parts to price'!$M$2:$M$92,MATCH(J125,'Parts to price'!$A$2:$A$92,0))),"")</f>
        <v/>
      </c>
      <c r="Q125" s="10" t="str">
        <f aca="false">IF(P125="","",P125*I125)</f>
        <v/>
      </c>
      <c r="R125" s="6" t="s">
        <v>846</v>
      </c>
    </row>
    <row r="126" customFormat="false" ht="79.85" hidden="false" customHeight="false" outlineLevel="0" collapsed="false">
      <c r="A126" s="5" t="s">
        <v>298</v>
      </c>
      <c r="B126" s="5" t="s">
        <v>454</v>
      </c>
      <c r="C126" s="5" t="s">
        <v>455</v>
      </c>
      <c r="D126" s="5" t="s">
        <v>430</v>
      </c>
      <c r="E126" s="5" t="s">
        <v>71</v>
      </c>
      <c r="F126" s="5" t="s">
        <v>81</v>
      </c>
      <c r="G126" s="5" t="s">
        <v>744</v>
      </c>
      <c r="H126" s="5" t="s">
        <v>297</v>
      </c>
      <c r="I126" s="7" t="n">
        <v>1</v>
      </c>
      <c r="J126" s="5" t="s">
        <v>295</v>
      </c>
      <c r="K126" s="6" t="s">
        <v>296</v>
      </c>
      <c r="L126" s="5" t="s">
        <v>295</v>
      </c>
      <c r="M126" s="5"/>
      <c r="N126" s="5" t="s">
        <v>847</v>
      </c>
      <c r="O126" s="5" t="s">
        <v>848</v>
      </c>
      <c r="P126" s="10" t="str">
        <f aca="false">IFERROR(IF(INDEX('Parts to price'!$M$2:$M$92,MATCH(J126,'Parts to price'!$A$2:$A$92,0))="","",INDEX('Parts to price'!$M$2:$M$92,MATCH(J126,'Parts to price'!$A$2:$A$92,0))),"")</f>
        <v/>
      </c>
      <c r="Q126" s="10" t="str">
        <f aca="false">IF(P126="","",P126*I126)</f>
        <v/>
      </c>
      <c r="R126" s="6" t="s">
        <v>849</v>
      </c>
    </row>
    <row r="127" customFormat="false" ht="57.45" hidden="false" customHeight="false" outlineLevel="0" collapsed="false">
      <c r="A127" s="5" t="s">
        <v>302</v>
      </c>
      <c r="B127" s="5" t="s">
        <v>454</v>
      </c>
      <c r="C127" s="5" t="s">
        <v>455</v>
      </c>
      <c r="D127" s="5" t="s">
        <v>430</v>
      </c>
      <c r="E127" s="5" t="s">
        <v>71</v>
      </c>
      <c r="F127" s="5" t="s">
        <v>81</v>
      </c>
      <c r="G127" s="5" t="s">
        <v>850</v>
      </c>
      <c r="H127" s="5" t="s">
        <v>301</v>
      </c>
      <c r="I127" s="7" t="n">
        <v>1</v>
      </c>
      <c r="J127" s="5" t="s">
        <v>299</v>
      </c>
      <c r="K127" s="6" t="s">
        <v>300</v>
      </c>
      <c r="L127" s="5" t="s">
        <v>299</v>
      </c>
      <c r="M127" s="5"/>
      <c r="N127" s="5" t="s">
        <v>851</v>
      </c>
      <c r="O127" s="5" t="s">
        <v>852</v>
      </c>
      <c r="P127" s="10" t="str">
        <f aca="false">IFERROR(IF(INDEX('Parts to price'!$M$2:$M$92,MATCH(J127,'Parts to price'!$A$2:$A$92,0))="","",INDEX('Parts to price'!$M$2:$M$92,MATCH(J127,'Parts to price'!$A$2:$A$92,0))),"")</f>
        <v/>
      </c>
      <c r="Q127" s="10" t="str">
        <f aca="false">IF(P127="","",P127*I127)</f>
        <v/>
      </c>
      <c r="R127" s="6" t="s">
        <v>853</v>
      </c>
    </row>
    <row r="128" customFormat="false" ht="46.25" hidden="false" customHeight="false" outlineLevel="0" collapsed="false">
      <c r="A128" s="5" t="s">
        <v>854</v>
      </c>
      <c r="B128" s="5" t="s">
        <v>454</v>
      </c>
      <c r="C128" s="5" t="s">
        <v>455</v>
      </c>
      <c r="D128" s="5" t="s">
        <v>430</v>
      </c>
      <c r="E128" s="5" t="s">
        <v>71</v>
      </c>
      <c r="F128" s="5" t="s">
        <v>143</v>
      </c>
      <c r="G128" s="5" t="s">
        <v>562</v>
      </c>
      <c r="H128" s="5" t="s">
        <v>144</v>
      </c>
      <c r="I128" s="7" t="n">
        <v>1</v>
      </c>
      <c r="J128" s="5" t="s">
        <v>140</v>
      </c>
      <c r="K128" s="6" t="s">
        <v>141</v>
      </c>
      <c r="L128" s="5" t="s">
        <v>140</v>
      </c>
      <c r="M128" s="5"/>
      <c r="N128" s="5" t="s">
        <v>855</v>
      </c>
      <c r="O128" s="5" t="s">
        <v>856</v>
      </c>
      <c r="P128" s="10" t="str">
        <f aca="false">IFERROR(IF(INDEX('Parts to price'!$M$2:$M$92,MATCH(J128,'Parts to price'!$A$2:$A$92,0))="","",INDEX('Parts to price'!$M$2:$M$92,MATCH(J128,'Parts to price'!$A$2:$A$92,0))),"")</f>
        <v/>
      </c>
      <c r="Q128" s="10" t="str">
        <f aca="false">IF(P128="","",P128*I128)</f>
        <v/>
      </c>
      <c r="R128" s="6" t="s">
        <v>857</v>
      </c>
    </row>
    <row r="129" customFormat="false" ht="57.45" hidden="false" customHeight="false" outlineLevel="0" collapsed="false">
      <c r="A129" s="5" t="s">
        <v>858</v>
      </c>
      <c r="B129" s="5" t="s">
        <v>454</v>
      </c>
      <c r="C129" s="5" t="s">
        <v>455</v>
      </c>
      <c r="D129" s="5" t="s">
        <v>430</v>
      </c>
      <c r="E129" s="5" t="s">
        <v>71</v>
      </c>
      <c r="F129" s="5" t="s">
        <v>143</v>
      </c>
      <c r="G129" s="5" t="s">
        <v>859</v>
      </c>
      <c r="H129" s="5" t="s">
        <v>65</v>
      </c>
      <c r="I129" s="7" t="n">
        <v>1</v>
      </c>
      <c r="J129" s="5" t="s">
        <v>140</v>
      </c>
      <c r="K129" s="6" t="s">
        <v>860</v>
      </c>
      <c r="L129" s="5" t="s">
        <v>140</v>
      </c>
      <c r="M129" s="5"/>
      <c r="N129" s="5" t="s">
        <v>855</v>
      </c>
      <c r="O129" s="5" t="s">
        <v>856</v>
      </c>
      <c r="P129" s="10" t="str">
        <f aca="false">IFERROR(IF(INDEX('Parts to price'!$M$2:$M$92,MATCH(J129,'Parts to price'!$A$2:$A$92,0))="","",INDEX('Parts to price'!$M$2:$M$92,MATCH(J129,'Parts to price'!$A$2:$A$92,0))),"")</f>
        <v/>
      </c>
      <c r="Q129" s="10" t="str">
        <f aca="false">IF(P129="","",P129*I129)</f>
        <v/>
      </c>
      <c r="R129" s="6" t="s">
        <v>861</v>
      </c>
    </row>
    <row r="130" customFormat="false" ht="79.85" hidden="false" customHeight="false" outlineLevel="0" collapsed="false">
      <c r="A130" s="5" t="s">
        <v>305</v>
      </c>
      <c r="B130" s="5" t="s">
        <v>454</v>
      </c>
      <c r="C130" s="5" t="s">
        <v>455</v>
      </c>
      <c r="D130" s="5" t="s">
        <v>430</v>
      </c>
      <c r="E130" s="5" t="s">
        <v>71</v>
      </c>
      <c r="F130" s="5" t="s">
        <v>81</v>
      </c>
      <c r="G130" s="5" t="s">
        <v>862</v>
      </c>
      <c r="H130" s="5" t="s">
        <v>304</v>
      </c>
      <c r="I130" s="7" t="n">
        <v>1</v>
      </c>
      <c r="J130" s="5" t="s">
        <v>303</v>
      </c>
      <c r="K130" s="6" t="s">
        <v>258</v>
      </c>
      <c r="L130" s="5" t="s">
        <v>863</v>
      </c>
      <c r="M130" s="5"/>
      <c r="N130" s="5" t="s">
        <v>864</v>
      </c>
      <c r="O130" s="5" t="s">
        <v>865</v>
      </c>
      <c r="P130" s="10" t="str">
        <f aca="false">IFERROR(IF(INDEX('Parts to price'!$M$2:$M$92,MATCH(J130,'Parts to price'!$A$2:$A$92,0))="","",INDEX('Parts to price'!$M$2:$M$92,MATCH(J130,'Parts to price'!$A$2:$A$92,0))),"")</f>
        <v/>
      </c>
      <c r="Q130" s="10" t="str">
        <f aca="false">IF(P130="","",P130*I130)</f>
        <v/>
      </c>
      <c r="R130" s="6" t="s">
        <v>866</v>
      </c>
    </row>
    <row r="131" customFormat="false" ht="57.45" hidden="false" customHeight="false" outlineLevel="0" collapsed="false">
      <c r="A131" s="5" t="s">
        <v>308</v>
      </c>
      <c r="B131" s="5" t="s">
        <v>454</v>
      </c>
      <c r="C131" s="5" t="s">
        <v>455</v>
      </c>
      <c r="D131" s="5" t="s">
        <v>430</v>
      </c>
      <c r="E131" s="5" t="s">
        <v>71</v>
      </c>
      <c r="F131" s="5" t="s">
        <v>81</v>
      </c>
      <c r="G131" s="5" t="s">
        <v>850</v>
      </c>
      <c r="H131" s="5" t="s">
        <v>307</v>
      </c>
      <c r="I131" s="7" t="n">
        <v>1</v>
      </c>
      <c r="J131" s="5" t="s">
        <v>306</v>
      </c>
      <c r="K131" s="6" t="s">
        <v>258</v>
      </c>
      <c r="L131" s="5" t="s">
        <v>867</v>
      </c>
      <c r="M131" s="5"/>
      <c r="N131" s="5" t="s">
        <v>864</v>
      </c>
      <c r="O131" s="5" t="s">
        <v>865</v>
      </c>
      <c r="P131" s="10" t="str">
        <f aca="false">IFERROR(IF(INDEX('Parts to price'!$M$2:$M$92,MATCH(J131,'Parts to price'!$A$2:$A$92,0))="","",INDEX('Parts to price'!$M$2:$M$92,MATCH(J131,'Parts to price'!$A$2:$A$92,0))),"")</f>
        <v/>
      </c>
      <c r="Q131" s="10" t="str">
        <f aca="false">IF(P131="","",P131*I131)</f>
        <v/>
      </c>
      <c r="R131" s="6" t="s">
        <v>868</v>
      </c>
    </row>
    <row r="132" customFormat="false" ht="46.25" hidden="false" customHeight="false" outlineLevel="0" collapsed="false">
      <c r="A132" s="5" t="s">
        <v>869</v>
      </c>
      <c r="B132" s="5" t="s">
        <v>454</v>
      </c>
      <c r="C132" s="5" t="s">
        <v>455</v>
      </c>
      <c r="D132" s="5" t="s">
        <v>430</v>
      </c>
      <c r="E132" s="5" t="s">
        <v>71</v>
      </c>
      <c r="F132" s="5" t="s">
        <v>143</v>
      </c>
      <c r="G132" s="5" t="s">
        <v>862</v>
      </c>
      <c r="H132" s="5" t="s">
        <v>148</v>
      </c>
      <c r="I132" s="7" t="n">
        <v>1</v>
      </c>
      <c r="J132" s="5" t="s">
        <v>146</v>
      </c>
      <c r="K132" s="6" t="s">
        <v>147</v>
      </c>
      <c r="L132" s="5" t="s">
        <v>146</v>
      </c>
      <c r="M132" s="5"/>
      <c r="N132" s="5" t="s">
        <v>514</v>
      </c>
      <c r="O132" s="5" t="s">
        <v>515</v>
      </c>
      <c r="P132" s="10" t="str">
        <f aca="false">IFERROR(IF(INDEX('Parts to price'!$M$2:$M$92,MATCH(J132,'Parts to price'!$A$2:$A$92,0))="","",INDEX('Parts to price'!$M$2:$M$92,MATCH(J132,'Parts to price'!$A$2:$A$92,0))),"")</f>
        <v/>
      </c>
      <c r="Q132" s="10" t="str">
        <f aca="false">IF(P132="","",P132*I132)</f>
        <v/>
      </c>
      <c r="R132" s="6" t="s">
        <v>870</v>
      </c>
    </row>
    <row r="133" customFormat="false" ht="68.65" hidden="false" customHeight="false" outlineLevel="0" collapsed="false">
      <c r="A133" s="5" t="s">
        <v>871</v>
      </c>
      <c r="B133" s="5" t="s">
        <v>454</v>
      </c>
      <c r="C133" s="5" t="s">
        <v>455</v>
      </c>
      <c r="D133" s="5" t="s">
        <v>430</v>
      </c>
      <c r="E133" s="5" t="s">
        <v>71</v>
      </c>
      <c r="F133" s="5" t="s">
        <v>143</v>
      </c>
      <c r="G133" s="5" t="s">
        <v>872</v>
      </c>
      <c r="H133" s="5" t="s">
        <v>149</v>
      </c>
      <c r="I133" s="7" t="n">
        <v>1</v>
      </c>
      <c r="J133" s="5" t="s">
        <v>146</v>
      </c>
      <c r="K133" s="6" t="s">
        <v>873</v>
      </c>
      <c r="L133" s="5" t="s">
        <v>146</v>
      </c>
      <c r="M133" s="5"/>
      <c r="N133" s="5" t="s">
        <v>514</v>
      </c>
      <c r="O133" s="5" t="s">
        <v>515</v>
      </c>
      <c r="P133" s="10" t="str">
        <f aca="false">IFERROR(IF(INDEX('Parts to price'!$M$2:$M$92,MATCH(J133,'Parts to price'!$A$2:$A$92,0))="","",INDEX('Parts to price'!$M$2:$M$92,MATCH(J133,'Parts to price'!$A$2:$A$92,0))),"")</f>
        <v/>
      </c>
      <c r="Q133" s="10" t="str">
        <f aca="false">IF(P133="","",P133*I133)</f>
        <v/>
      </c>
      <c r="R133" s="6" t="s">
        <v>874</v>
      </c>
    </row>
    <row r="135" customFormat="false" ht="15" hidden="false" customHeight="false" outlineLevel="0" collapsed="false">
      <c r="A135" s="11" t="s">
        <v>413</v>
      </c>
      <c r="B135" s="11"/>
      <c r="C135" s="11"/>
      <c r="D135" s="11"/>
      <c r="E135" s="11"/>
      <c r="F135" s="11"/>
      <c r="G135" s="11"/>
      <c r="H135" s="11"/>
      <c r="I135" s="11"/>
      <c r="J135" s="11"/>
      <c r="K135" s="11"/>
      <c r="L135" s="11"/>
      <c r="M135" s="11"/>
      <c r="N135" s="11"/>
      <c r="O135" s="11"/>
      <c r="P135" s="11"/>
      <c r="Q135" s="13" t="n">
        <f aca="false">SUM(Q2:Q133)</f>
        <v>0</v>
      </c>
      <c r="R135" s="11"/>
    </row>
  </sheetData>
  <autoFilter ref="A1:R1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30"/>
    <col collapsed="false" customWidth="true" hidden="false" outlineLevel="0" max="4" min="4" style="0" width="8"/>
    <col collapsed="false" customWidth="true" hidden="false" outlineLevel="0" max="6" min="5" style="0" width="11"/>
    <col collapsed="false" customWidth="true" hidden="false" outlineLevel="0" max="7" min="7" style="0" width="24"/>
    <col collapsed="false" customWidth="true" hidden="false" outlineLevel="0" max="8" min="8" style="0" width="40"/>
  </cols>
  <sheetData>
    <row r="1" customFormat="false" ht="30" hidden="false" customHeight="true" outlineLevel="0" collapsed="false">
      <c r="A1" s="4" t="s">
        <v>414</v>
      </c>
      <c r="B1" s="4" t="s">
        <v>415</v>
      </c>
      <c r="C1" s="4" t="s">
        <v>875</v>
      </c>
      <c r="D1" s="4" t="s">
        <v>417</v>
      </c>
      <c r="E1" s="4" t="s">
        <v>419</v>
      </c>
      <c r="F1" s="4" t="s">
        <v>421</v>
      </c>
      <c r="G1" s="4" t="s">
        <v>18</v>
      </c>
      <c r="H1" s="4" t="s">
        <v>20</v>
      </c>
    </row>
    <row r="2" customFormat="false" ht="15" hidden="false" customHeight="false" outlineLevel="0" collapsed="false">
      <c r="A2" s="5" t="s">
        <v>876</v>
      </c>
      <c r="B2" s="5" t="s">
        <v>428</v>
      </c>
      <c r="C2" s="6" t="s">
        <v>877</v>
      </c>
      <c r="D2" s="5" t="s">
        <v>430</v>
      </c>
      <c r="E2" s="5" t="s">
        <v>46</v>
      </c>
      <c r="F2" s="5" t="s">
        <v>158</v>
      </c>
      <c r="G2" s="5" t="s">
        <v>878</v>
      </c>
      <c r="H2" s="6" t="s">
        <v>879</v>
      </c>
    </row>
    <row r="3" customFormat="false" ht="15" hidden="false" customHeight="false" outlineLevel="0" collapsed="false">
      <c r="A3" s="5" t="s">
        <v>880</v>
      </c>
      <c r="B3" s="5" t="s">
        <v>428</v>
      </c>
      <c r="C3" s="6" t="s">
        <v>881</v>
      </c>
      <c r="D3" s="5" t="s">
        <v>477</v>
      </c>
      <c r="E3" s="5" t="s">
        <v>882</v>
      </c>
      <c r="F3" s="5" t="s">
        <v>144</v>
      </c>
      <c r="G3" s="5" t="s">
        <v>883</v>
      </c>
      <c r="H3" s="6" t="s">
        <v>884</v>
      </c>
    </row>
    <row r="4" customFormat="false" ht="15" hidden="false" customHeight="false" outlineLevel="0" collapsed="false">
      <c r="A4" s="5" t="s">
        <v>885</v>
      </c>
      <c r="B4" s="5" t="s">
        <v>428</v>
      </c>
      <c r="C4" s="6" t="s">
        <v>886</v>
      </c>
      <c r="D4" s="5" t="s">
        <v>430</v>
      </c>
      <c r="E4" s="5" t="s">
        <v>46</v>
      </c>
      <c r="F4" s="5" t="s">
        <v>887</v>
      </c>
      <c r="G4" s="5" t="s">
        <v>61</v>
      </c>
      <c r="H4" s="6" t="s">
        <v>888</v>
      </c>
    </row>
    <row r="5" customFormat="false" ht="15" hidden="false" customHeight="false" outlineLevel="0" collapsed="false">
      <c r="A5" s="5" t="s">
        <v>889</v>
      </c>
      <c r="B5" s="5" t="s">
        <v>511</v>
      </c>
      <c r="C5" s="6" t="s">
        <v>890</v>
      </c>
      <c r="D5" s="5" t="s">
        <v>430</v>
      </c>
      <c r="E5" s="5" t="s">
        <v>81</v>
      </c>
      <c r="F5" s="5" t="s">
        <v>304</v>
      </c>
      <c r="G5" s="5" t="s">
        <v>891</v>
      </c>
      <c r="H5" s="6" t="s">
        <v>892</v>
      </c>
    </row>
    <row r="6" customFormat="false" ht="15" hidden="false" customHeight="false" outlineLevel="0" collapsed="false">
      <c r="A6" s="5" t="s">
        <v>893</v>
      </c>
      <c r="B6" s="5" t="s">
        <v>454</v>
      </c>
      <c r="C6" s="6" t="s">
        <v>894</v>
      </c>
      <c r="D6" s="5" t="s">
        <v>430</v>
      </c>
      <c r="E6" s="5" t="s">
        <v>46</v>
      </c>
      <c r="F6" s="5" t="s">
        <v>895</v>
      </c>
      <c r="G6" s="5" t="s">
        <v>896</v>
      </c>
      <c r="H6" s="6" t="s">
        <v>897</v>
      </c>
    </row>
    <row r="7" customFormat="false" ht="15" hidden="false" customHeight="false" outlineLevel="0" collapsed="false">
      <c r="A7" s="5" t="s">
        <v>898</v>
      </c>
      <c r="B7" s="5" t="s">
        <v>511</v>
      </c>
      <c r="C7" s="6" t="s">
        <v>899</v>
      </c>
      <c r="D7" s="5" t="s">
        <v>430</v>
      </c>
      <c r="E7" s="5" t="s">
        <v>81</v>
      </c>
      <c r="F7" s="5" t="s">
        <v>39</v>
      </c>
      <c r="G7" s="5" t="s">
        <v>900</v>
      </c>
      <c r="H7" s="6" t="s">
        <v>901</v>
      </c>
    </row>
    <row r="8" customFormat="false" ht="15" hidden="false" customHeight="false" outlineLevel="0" collapsed="false">
      <c r="A8" s="5" t="s">
        <v>902</v>
      </c>
      <c r="B8" s="5" t="s">
        <v>511</v>
      </c>
      <c r="C8" s="6" t="s">
        <v>903</v>
      </c>
      <c r="D8" s="5" t="s">
        <v>430</v>
      </c>
      <c r="E8" s="5" t="s">
        <v>133</v>
      </c>
      <c r="F8" s="5" t="s">
        <v>281</v>
      </c>
      <c r="G8" s="5" t="s">
        <v>904</v>
      </c>
      <c r="H8" s="6" t="s">
        <v>905</v>
      </c>
    </row>
    <row r="9" customFormat="false" ht="15" hidden="false" customHeight="false" outlineLevel="0" collapsed="false">
      <c r="A9" s="5" t="s">
        <v>906</v>
      </c>
      <c r="B9" s="5" t="s">
        <v>511</v>
      </c>
      <c r="C9" s="6" t="s">
        <v>903</v>
      </c>
      <c r="D9" s="5" t="s">
        <v>430</v>
      </c>
      <c r="E9" s="5" t="s">
        <v>133</v>
      </c>
      <c r="F9" s="5" t="s">
        <v>907</v>
      </c>
      <c r="G9" s="5" t="s">
        <v>904</v>
      </c>
      <c r="H9" s="6" t="s">
        <v>908</v>
      </c>
    </row>
    <row r="10" customFormat="false" ht="15" hidden="false" customHeight="false" outlineLevel="0" collapsed="false">
      <c r="A10" s="5" t="s">
        <v>909</v>
      </c>
      <c r="B10" s="5" t="s">
        <v>454</v>
      </c>
      <c r="C10" s="6" t="s">
        <v>910</v>
      </c>
      <c r="D10" s="5" t="s">
        <v>430</v>
      </c>
      <c r="E10" s="5" t="s">
        <v>143</v>
      </c>
      <c r="F10" s="5" t="s">
        <v>267</v>
      </c>
      <c r="G10" s="5" t="s">
        <v>911</v>
      </c>
      <c r="H10" s="6" t="s">
        <v>912</v>
      </c>
    </row>
    <row r="11" customFormat="false" ht="15" hidden="false" customHeight="false" outlineLevel="0" collapsed="false">
      <c r="A11" s="5" t="s">
        <v>913</v>
      </c>
      <c r="B11" s="5" t="s">
        <v>511</v>
      </c>
      <c r="C11" s="6" t="s">
        <v>914</v>
      </c>
      <c r="D11" s="5" t="s">
        <v>430</v>
      </c>
      <c r="E11" s="5" t="s">
        <v>81</v>
      </c>
      <c r="F11" s="5" t="s">
        <v>915</v>
      </c>
      <c r="G11" s="5" t="s">
        <v>916</v>
      </c>
      <c r="H11" s="6" t="s">
        <v>917</v>
      </c>
    </row>
    <row r="12" customFormat="false" ht="15" hidden="false" customHeight="false" outlineLevel="0" collapsed="false">
      <c r="A12" s="5" t="s">
        <v>918</v>
      </c>
      <c r="B12" s="5" t="s">
        <v>511</v>
      </c>
      <c r="C12" s="6" t="s">
        <v>919</v>
      </c>
      <c r="D12" s="5" t="s">
        <v>430</v>
      </c>
      <c r="E12" s="5" t="s">
        <v>405</v>
      </c>
      <c r="F12" s="5" t="s">
        <v>54</v>
      </c>
      <c r="G12" s="5" t="s">
        <v>920</v>
      </c>
      <c r="H12" s="6" t="s">
        <v>921</v>
      </c>
    </row>
    <row r="13" customFormat="false" ht="15" hidden="false" customHeight="false" outlineLevel="0" collapsed="false">
      <c r="A13" s="5" t="s">
        <v>922</v>
      </c>
      <c r="B13" s="5" t="s">
        <v>454</v>
      </c>
      <c r="C13" s="6" t="s">
        <v>894</v>
      </c>
      <c r="D13" s="5" t="s">
        <v>430</v>
      </c>
      <c r="E13" s="5" t="s">
        <v>46</v>
      </c>
      <c r="F13" s="5" t="s">
        <v>203</v>
      </c>
      <c r="G13" s="5" t="s">
        <v>923</v>
      </c>
      <c r="H13" s="6" t="s">
        <v>924</v>
      </c>
    </row>
    <row r="14" customFormat="false" ht="15" hidden="false" customHeight="false" outlineLevel="0" collapsed="false">
      <c r="A14" s="5" t="s">
        <v>925</v>
      </c>
      <c r="B14" s="5" t="s">
        <v>454</v>
      </c>
      <c r="C14" s="6" t="s">
        <v>894</v>
      </c>
      <c r="D14" s="5" t="s">
        <v>430</v>
      </c>
      <c r="E14" s="5" t="s">
        <v>46</v>
      </c>
      <c r="F14" s="5" t="s">
        <v>203</v>
      </c>
      <c r="G14" s="5" t="s">
        <v>926</v>
      </c>
      <c r="H14" s="6" t="s">
        <v>927</v>
      </c>
    </row>
    <row r="15" customFormat="false" ht="15" hidden="false" customHeight="false" outlineLevel="0" collapsed="false">
      <c r="A15" s="5" t="s">
        <v>928</v>
      </c>
      <c r="B15" s="5" t="s">
        <v>511</v>
      </c>
      <c r="C15" s="6" t="s">
        <v>914</v>
      </c>
      <c r="D15" s="5" t="s">
        <v>430</v>
      </c>
      <c r="E15" s="5" t="s">
        <v>400</v>
      </c>
      <c r="F15" s="5" t="s">
        <v>929</v>
      </c>
      <c r="G15" s="5" t="s">
        <v>930</v>
      </c>
      <c r="H15" s="6" t="s">
        <v>931</v>
      </c>
    </row>
    <row r="16" customFormat="false" ht="23.85" hidden="false" customHeight="false" outlineLevel="0" collapsed="false">
      <c r="A16" s="5" t="s">
        <v>932</v>
      </c>
      <c r="B16" s="5" t="s">
        <v>454</v>
      </c>
      <c r="C16" s="6" t="s">
        <v>933</v>
      </c>
      <c r="D16" s="5" t="s">
        <v>430</v>
      </c>
      <c r="E16" s="5" t="s">
        <v>934</v>
      </c>
      <c r="F16" s="5" t="s">
        <v>935</v>
      </c>
      <c r="G16" s="5" t="s">
        <v>936</v>
      </c>
      <c r="H16" s="6" t="s">
        <v>937</v>
      </c>
    </row>
    <row r="17" customFormat="false" ht="15" hidden="false" customHeight="false" outlineLevel="0" collapsed="false">
      <c r="A17" s="5" t="s">
        <v>938</v>
      </c>
      <c r="B17" s="5" t="s">
        <v>511</v>
      </c>
      <c r="C17" s="6" t="s">
        <v>903</v>
      </c>
      <c r="D17" s="5" t="s">
        <v>430</v>
      </c>
      <c r="E17" s="5" t="s">
        <v>37</v>
      </c>
      <c r="F17" s="5" t="s">
        <v>939</v>
      </c>
      <c r="G17" s="5" t="s">
        <v>940</v>
      </c>
      <c r="H17" s="6" t="s">
        <v>941</v>
      </c>
    </row>
    <row r="18" customFormat="false" ht="15" hidden="false" customHeight="false" outlineLevel="0" collapsed="false">
      <c r="A18" s="5" t="s">
        <v>942</v>
      </c>
      <c r="B18" s="5" t="s">
        <v>511</v>
      </c>
      <c r="C18" s="6" t="s">
        <v>903</v>
      </c>
      <c r="D18" s="5" t="s">
        <v>430</v>
      </c>
      <c r="E18" s="5" t="s">
        <v>37</v>
      </c>
      <c r="F18" s="5" t="s">
        <v>939</v>
      </c>
      <c r="G18" s="5" t="s">
        <v>940</v>
      </c>
      <c r="H18" s="6" t="s">
        <v>941</v>
      </c>
    </row>
    <row r="19" customFormat="false" ht="15" hidden="false" customHeight="false" outlineLevel="0" collapsed="false">
      <c r="A19" s="5" t="s">
        <v>943</v>
      </c>
      <c r="B19" s="5" t="s">
        <v>511</v>
      </c>
      <c r="C19" s="6" t="s">
        <v>903</v>
      </c>
      <c r="D19" s="5" t="s">
        <v>430</v>
      </c>
      <c r="E19" s="5" t="s">
        <v>133</v>
      </c>
      <c r="F19" s="5" t="s">
        <v>944</v>
      </c>
      <c r="G19" s="5" t="s">
        <v>945</v>
      </c>
      <c r="H19" s="6" t="s">
        <v>946</v>
      </c>
    </row>
    <row r="20" customFormat="false" ht="15" hidden="false" customHeight="false" outlineLevel="0" collapsed="false">
      <c r="A20" s="5" t="s">
        <v>947</v>
      </c>
      <c r="B20" s="5" t="s">
        <v>511</v>
      </c>
      <c r="C20" s="6" t="s">
        <v>903</v>
      </c>
      <c r="D20" s="5" t="s">
        <v>430</v>
      </c>
      <c r="E20" s="5" t="s">
        <v>133</v>
      </c>
      <c r="F20" s="5" t="s">
        <v>948</v>
      </c>
      <c r="G20" s="5" t="s">
        <v>945</v>
      </c>
      <c r="H20" s="6" t="s">
        <v>949</v>
      </c>
    </row>
    <row r="21" customFormat="false" ht="15" hidden="false" customHeight="false" outlineLevel="0" collapsed="false">
      <c r="A21" s="5" t="s">
        <v>950</v>
      </c>
      <c r="B21" s="5" t="s">
        <v>511</v>
      </c>
      <c r="C21" s="6" t="s">
        <v>903</v>
      </c>
      <c r="D21" s="5" t="s">
        <v>430</v>
      </c>
      <c r="E21" s="5" t="s">
        <v>133</v>
      </c>
      <c r="F21" s="5" t="s">
        <v>364</v>
      </c>
      <c r="G21" s="5" t="s">
        <v>951</v>
      </c>
      <c r="H21" s="6" t="s">
        <v>952</v>
      </c>
    </row>
    <row r="22" customFormat="false" ht="15" hidden="false" customHeight="false" outlineLevel="0" collapsed="false">
      <c r="A22" s="5" t="s">
        <v>953</v>
      </c>
      <c r="B22" s="5" t="s">
        <v>511</v>
      </c>
      <c r="C22" s="6" t="s">
        <v>954</v>
      </c>
      <c r="D22" s="5" t="s">
        <v>837</v>
      </c>
      <c r="E22" s="5" t="s">
        <v>81</v>
      </c>
      <c r="F22" s="5" t="s">
        <v>955</v>
      </c>
      <c r="G22" s="5" t="s">
        <v>956</v>
      </c>
      <c r="H22" s="6" t="s">
        <v>957</v>
      </c>
    </row>
    <row r="23" customFormat="false" ht="15" hidden="false" customHeight="false" outlineLevel="0" collapsed="false">
      <c r="A23" s="5" t="s">
        <v>958</v>
      </c>
      <c r="B23" s="5" t="s">
        <v>428</v>
      </c>
      <c r="C23" s="6" t="s">
        <v>886</v>
      </c>
      <c r="D23" s="5" t="s">
        <v>430</v>
      </c>
      <c r="E23" s="5" t="s">
        <v>46</v>
      </c>
      <c r="F23" s="5" t="s">
        <v>935</v>
      </c>
      <c r="G23" s="5" t="s">
        <v>959</v>
      </c>
      <c r="H23" s="6" t="s">
        <v>960</v>
      </c>
    </row>
    <row r="24" customFormat="false" ht="15" hidden="false" customHeight="false" outlineLevel="0" collapsed="false">
      <c r="A24" s="5" t="s">
        <v>961</v>
      </c>
      <c r="B24" s="5" t="s">
        <v>428</v>
      </c>
      <c r="C24" s="6" t="s">
        <v>886</v>
      </c>
      <c r="D24" s="5" t="s">
        <v>430</v>
      </c>
      <c r="E24" s="5" t="s">
        <v>46</v>
      </c>
      <c r="F24" s="5" t="s">
        <v>53</v>
      </c>
      <c r="G24" s="5" t="s">
        <v>959</v>
      </c>
      <c r="H24" s="6" t="s">
        <v>962</v>
      </c>
    </row>
    <row r="25" customFormat="false" ht="15" hidden="false" customHeight="false" outlineLevel="0" collapsed="false">
      <c r="A25" s="5" t="s">
        <v>963</v>
      </c>
      <c r="B25" s="5" t="s">
        <v>454</v>
      </c>
      <c r="C25" s="6" t="s">
        <v>886</v>
      </c>
      <c r="D25" s="5" t="s">
        <v>430</v>
      </c>
      <c r="E25" s="5" t="s">
        <v>46</v>
      </c>
      <c r="F25" s="5" t="s">
        <v>53</v>
      </c>
      <c r="G25" s="5" t="s">
        <v>964</v>
      </c>
      <c r="H25" s="6" t="s">
        <v>965</v>
      </c>
    </row>
    <row r="26" customFormat="false" ht="15" hidden="false" customHeight="false" outlineLevel="0" collapsed="false">
      <c r="A26" s="5" t="s">
        <v>966</v>
      </c>
      <c r="B26" s="5" t="s">
        <v>428</v>
      </c>
      <c r="C26" s="6" t="s">
        <v>881</v>
      </c>
      <c r="D26" s="5" t="s">
        <v>477</v>
      </c>
      <c r="E26" s="5" t="s">
        <v>81</v>
      </c>
      <c r="F26" s="5" t="s">
        <v>64</v>
      </c>
      <c r="G26" s="5" t="s">
        <v>967</v>
      </c>
      <c r="H26" s="6" t="s">
        <v>968</v>
      </c>
    </row>
    <row r="27" customFormat="false" ht="15" hidden="false" customHeight="false" outlineLevel="0" collapsed="false">
      <c r="A27" s="5" t="s">
        <v>969</v>
      </c>
      <c r="B27" s="5" t="s">
        <v>428</v>
      </c>
      <c r="C27" s="6" t="s">
        <v>881</v>
      </c>
      <c r="D27" s="5" t="s">
        <v>477</v>
      </c>
      <c r="E27" s="5" t="s">
        <v>970</v>
      </c>
      <c r="F27" s="5" t="s">
        <v>971</v>
      </c>
      <c r="G27" s="5" t="s">
        <v>972</v>
      </c>
      <c r="H27" s="6" t="s">
        <v>973</v>
      </c>
    </row>
    <row r="28" customFormat="false" ht="15" hidden="false" customHeight="false" outlineLevel="0" collapsed="false">
      <c r="A28" s="5" t="s">
        <v>974</v>
      </c>
      <c r="B28" s="5" t="s">
        <v>428</v>
      </c>
      <c r="C28" s="6" t="s">
        <v>881</v>
      </c>
      <c r="D28" s="5" t="s">
        <v>477</v>
      </c>
      <c r="E28" s="5" t="s">
        <v>970</v>
      </c>
      <c r="F28" s="5" t="s">
        <v>975</v>
      </c>
      <c r="G28" s="5" t="s">
        <v>972</v>
      </c>
      <c r="H28" s="6" t="s">
        <v>976</v>
      </c>
    </row>
    <row r="29" customFormat="false" ht="15" hidden="false" customHeight="false" outlineLevel="0" collapsed="false">
      <c r="A29" s="5" t="s">
        <v>977</v>
      </c>
      <c r="B29" s="5" t="s">
        <v>428</v>
      </c>
      <c r="C29" s="6" t="s">
        <v>881</v>
      </c>
      <c r="D29" s="5" t="s">
        <v>477</v>
      </c>
      <c r="E29" s="5" t="s">
        <v>970</v>
      </c>
      <c r="F29" s="5" t="s">
        <v>975</v>
      </c>
      <c r="G29" s="5" t="s">
        <v>972</v>
      </c>
      <c r="H29" s="6" t="s">
        <v>978</v>
      </c>
    </row>
    <row r="30" customFormat="false" ht="23.85" hidden="false" customHeight="false" outlineLevel="0" collapsed="false">
      <c r="A30" s="5" t="s">
        <v>979</v>
      </c>
      <c r="B30" s="5" t="s">
        <v>428</v>
      </c>
      <c r="C30" s="6" t="s">
        <v>881</v>
      </c>
      <c r="D30" s="5" t="s">
        <v>430</v>
      </c>
      <c r="E30" s="5" t="s">
        <v>970</v>
      </c>
      <c r="F30" s="5" t="s">
        <v>163</v>
      </c>
      <c r="G30" s="5" t="s">
        <v>972</v>
      </c>
      <c r="H30" s="6" t="s">
        <v>980</v>
      </c>
    </row>
    <row r="31" customFormat="false" ht="23.85" hidden="false" customHeight="false" outlineLevel="0" collapsed="false">
      <c r="A31" s="5" t="s">
        <v>981</v>
      </c>
      <c r="B31" s="5" t="s">
        <v>428</v>
      </c>
      <c r="C31" s="6" t="s">
        <v>886</v>
      </c>
      <c r="D31" s="5" t="s">
        <v>430</v>
      </c>
      <c r="E31" s="5" t="s">
        <v>46</v>
      </c>
      <c r="F31" s="5" t="s">
        <v>939</v>
      </c>
      <c r="G31" s="5" t="s">
        <v>982</v>
      </c>
      <c r="H31" s="6" t="s">
        <v>983</v>
      </c>
    </row>
    <row r="32" customFormat="false" ht="15" hidden="false" customHeight="false" outlineLevel="0" collapsed="false">
      <c r="A32" s="5" t="s">
        <v>984</v>
      </c>
      <c r="B32" s="5" t="s">
        <v>428</v>
      </c>
      <c r="C32" s="6" t="s">
        <v>886</v>
      </c>
      <c r="D32" s="5" t="s">
        <v>430</v>
      </c>
      <c r="E32" s="5" t="s">
        <v>37</v>
      </c>
      <c r="F32" s="5" t="s">
        <v>104</v>
      </c>
      <c r="G32" s="5" t="s">
        <v>985</v>
      </c>
      <c r="H32" s="6" t="s">
        <v>986</v>
      </c>
    </row>
    <row r="33" customFormat="false" ht="15" hidden="false" customHeight="false" outlineLevel="0" collapsed="false">
      <c r="A33" s="5" t="s">
        <v>987</v>
      </c>
      <c r="B33" s="5" t="s">
        <v>511</v>
      </c>
      <c r="C33" s="6" t="s">
        <v>988</v>
      </c>
      <c r="D33" s="5" t="s">
        <v>477</v>
      </c>
      <c r="E33" s="5" t="s">
        <v>81</v>
      </c>
      <c r="F33" s="5" t="s">
        <v>64</v>
      </c>
      <c r="G33" s="5" t="s">
        <v>989</v>
      </c>
      <c r="H33" s="6" t="s">
        <v>990</v>
      </c>
    </row>
    <row r="34" customFormat="false" ht="15" hidden="false" customHeight="false" outlineLevel="0" collapsed="false">
      <c r="A34" s="5" t="s">
        <v>991</v>
      </c>
      <c r="B34" s="5" t="s">
        <v>428</v>
      </c>
      <c r="C34" s="6" t="s">
        <v>881</v>
      </c>
      <c r="D34" s="5" t="s">
        <v>477</v>
      </c>
      <c r="E34" s="5" t="s">
        <v>992</v>
      </c>
      <c r="F34" s="5" t="s">
        <v>993</v>
      </c>
      <c r="G34" s="5" t="s">
        <v>994</v>
      </c>
      <c r="H34" s="6" t="s">
        <v>995</v>
      </c>
    </row>
    <row r="35" customFormat="false" ht="15" hidden="false" customHeight="false" outlineLevel="0" collapsed="false">
      <c r="A35" s="5" t="s">
        <v>996</v>
      </c>
      <c r="B35" s="5" t="s">
        <v>428</v>
      </c>
      <c r="C35" s="6" t="s">
        <v>997</v>
      </c>
      <c r="D35" s="5" t="s">
        <v>477</v>
      </c>
      <c r="E35" s="5" t="s">
        <v>351</v>
      </c>
      <c r="F35" s="5" t="s">
        <v>998</v>
      </c>
      <c r="G35" s="5" t="s">
        <v>999</v>
      </c>
      <c r="H35" s="6" t="s">
        <v>1000</v>
      </c>
    </row>
    <row r="36" customFormat="false" ht="15" hidden="false" customHeight="false" outlineLevel="0" collapsed="false">
      <c r="A36" s="5" t="s">
        <v>1001</v>
      </c>
      <c r="B36" s="5" t="s">
        <v>428</v>
      </c>
      <c r="C36" s="6" t="s">
        <v>886</v>
      </c>
      <c r="D36" s="5" t="s">
        <v>430</v>
      </c>
      <c r="E36" s="5" t="s">
        <v>46</v>
      </c>
      <c r="F36" s="5" t="s">
        <v>998</v>
      </c>
      <c r="G36" s="5" t="s">
        <v>1002</v>
      </c>
      <c r="H36" s="6" t="s">
        <v>1003</v>
      </c>
    </row>
    <row r="37" customFormat="false" ht="15" hidden="false" customHeight="false" outlineLevel="0" collapsed="false">
      <c r="A37" s="5" t="s">
        <v>1004</v>
      </c>
      <c r="B37" s="5" t="s">
        <v>428</v>
      </c>
      <c r="C37" s="6" t="s">
        <v>894</v>
      </c>
      <c r="D37" s="5" t="s">
        <v>430</v>
      </c>
      <c r="E37" s="5" t="s">
        <v>46</v>
      </c>
      <c r="F37" s="5" t="s">
        <v>64</v>
      </c>
      <c r="G37" s="5" t="s">
        <v>336</v>
      </c>
      <c r="H37" s="6" t="s">
        <v>1005</v>
      </c>
    </row>
    <row r="38" customFormat="false" ht="15" hidden="false" customHeight="false" outlineLevel="0" collapsed="false">
      <c r="A38" s="5" t="s">
        <v>1006</v>
      </c>
      <c r="B38" s="5" t="s">
        <v>428</v>
      </c>
      <c r="C38" s="6" t="s">
        <v>894</v>
      </c>
      <c r="D38" s="5" t="s">
        <v>430</v>
      </c>
      <c r="E38" s="5" t="s">
        <v>46</v>
      </c>
      <c r="F38" s="5" t="s">
        <v>311</v>
      </c>
      <c r="G38" s="5" t="s">
        <v>336</v>
      </c>
      <c r="H38" s="6" t="s">
        <v>1007</v>
      </c>
    </row>
    <row r="39" customFormat="false" ht="15" hidden="false" customHeight="false" outlineLevel="0" collapsed="false">
      <c r="A39" s="5" t="s">
        <v>1008</v>
      </c>
      <c r="B39" s="5" t="s">
        <v>428</v>
      </c>
      <c r="C39" s="6" t="s">
        <v>894</v>
      </c>
      <c r="D39" s="5" t="s">
        <v>430</v>
      </c>
      <c r="E39" s="5" t="s">
        <v>46</v>
      </c>
      <c r="F39" s="5" t="s">
        <v>311</v>
      </c>
      <c r="G39" s="5" t="s">
        <v>1009</v>
      </c>
      <c r="H39" s="6" t="s">
        <v>1010</v>
      </c>
    </row>
    <row r="40" customFormat="false" ht="15" hidden="false" customHeight="false" outlineLevel="0" collapsed="false">
      <c r="A40" s="5" t="s">
        <v>1011</v>
      </c>
      <c r="B40" s="5" t="s">
        <v>428</v>
      </c>
      <c r="C40" s="6" t="s">
        <v>1012</v>
      </c>
      <c r="D40" s="5" t="s">
        <v>430</v>
      </c>
      <c r="E40" s="5" t="s">
        <v>46</v>
      </c>
      <c r="F40" s="5" t="s">
        <v>39</v>
      </c>
      <c r="G40" s="5" t="s">
        <v>1013</v>
      </c>
      <c r="H40" s="6" t="s">
        <v>1014</v>
      </c>
    </row>
    <row r="41" customFormat="false" ht="15" hidden="false" customHeight="false" outlineLevel="0" collapsed="false">
      <c r="A41" s="5" t="s">
        <v>1015</v>
      </c>
      <c r="B41" s="5" t="s">
        <v>428</v>
      </c>
      <c r="C41" s="6" t="s">
        <v>881</v>
      </c>
      <c r="D41" s="5" t="s">
        <v>477</v>
      </c>
      <c r="E41" s="5" t="s">
        <v>1016</v>
      </c>
      <c r="F41" s="5" t="s">
        <v>40</v>
      </c>
      <c r="G41" s="5" t="s">
        <v>1017</v>
      </c>
      <c r="H41" s="6" t="s">
        <v>1018</v>
      </c>
    </row>
    <row r="42" customFormat="false" ht="15" hidden="false" customHeight="false" outlineLevel="0" collapsed="false">
      <c r="A42" s="5" t="s">
        <v>1019</v>
      </c>
      <c r="B42" s="5" t="s">
        <v>428</v>
      </c>
      <c r="C42" s="6" t="s">
        <v>881</v>
      </c>
      <c r="D42" s="5" t="s">
        <v>477</v>
      </c>
      <c r="E42" s="5" t="s">
        <v>970</v>
      </c>
      <c r="F42" s="5" t="s">
        <v>971</v>
      </c>
      <c r="G42" s="5" t="s">
        <v>1020</v>
      </c>
      <c r="H42" s="6" t="s">
        <v>1021</v>
      </c>
    </row>
    <row r="43" customFormat="false" ht="15" hidden="false" customHeight="false" outlineLevel="0" collapsed="false">
      <c r="A43" s="5" t="s">
        <v>1022</v>
      </c>
      <c r="B43" s="5" t="s">
        <v>428</v>
      </c>
      <c r="C43" s="6" t="s">
        <v>881</v>
      </c>
      <c r="D43" s="5" t="s">
        <v>477</v>
      </c>
      <c r="E43" s="5" t="s">
        <v>970</v>
      </c>
      <c r="F43" s="5" t="s">
        <v>971</v>
      </c>
      <c r="G43" s="5" t="s">
        <v>1020</v>
      </c>
      <c r="H43" s="6" t="s">
        <v>1023</v>
      </c>
    </row>
    <row r="44" customFormat="false" ht="15" hidden="false" customHeight="false" outlineLevel="0" collapsed="false">
      <c r="A44" s="5" t="s">
        <v>1024</v>
      </c>
      <c r="B44" s="5" t="s">
        <v>428</v>
      </c>
      <c r="C44" s="6" t="s">
        <v>881</v>
      </c>
      <c r="D44" s="5" t="s">
        <v>477</v>
      </c>
      <c r="E44" s="5" t="s">
        <v>970</v>
      </c>
      <c r="F44" s="5" t="s">
        <v>975</v>
      </c>
      <c r="G44" s="5" t="s">
        <v>1020</v>
      </c>
      <c r="H44" s="6" t="s">
        <v>1025</v>
      </c>
    </row>
    <row r="45" customFormat="false" ht="15" hidden="false" customHeight="false" outlineLevel="0" collapsed="false">
      <c r="A45" s="5" t="s">
        <v>1026</v>
      </c>
      <c r="B45" s="5" t="s">
        <v>428</v>
      </c>
      <c r="C45" s="6" t="s">
        <v>881</v>
      </c>
      <c r="D45" s="5" t="s">
        <v>477</v>
      </c>
      <c r="E45" s="5" t="s">
        <v>970</v>
      </c>
      <c r="F45" s="5" t="s">
        <v>975</v>
      </c>
      <c r="G45" s="5" t="s">
        <v>1020</v>
      </c>
      <c r="H45" s="6" t="s">
        <v>1027</v>
      </c>
    </row>
    <row r="46" customFormat="false" ht="23.85" hidden="false" customHeight="false" outlineLevel="0" collapsed="false">
      <c r="A46" s="5" t="s">
        <v>1028</v>
      </c>
      <c r="B46" s="5" t="s">
        <v>428</v>
      </c>
      <c r="C46" s="6" t="s">
        <v>881</v>
      </c>
      <c r="D46" s="5" t="s">
        <v>430</v>
      </c>
      <c r="E46" s="5" t="s">
        <v>970</v>
      </c>
      <c r="F46" s="5" t="s">
        <v>163</v>
      </c>
      <c r="G46" s="5" t="s">
        <v>1020</v>
      </c>
      <c r="H46" s="6" t="s">
        <v>1029</v>
      </c>
    </row>
    <row r="47" customFormat="false" ht="23.85" hidden="false" customHeight="false" outlineLevel="0" collapsed="false">
      <c r="A47" s="5" t="s">
        <v>1030</v>
      </c>
      <c r="B47" s="5" t="s">
        <v>428</v>
      </c>
      <c r="C47" s="6" t="s">
        <v>881</v>
      </c>
      <c r="D47" s="5" t="s">
        <v>430</v>
      </c>
      <c r="E47" s="5" t="s">
        <v>970</v>
      </c>
      <c r="F47" s="5" t="s">
        <v>163</v>
      </c>
      <c r="G47" s="5" t="s">
        <v>1020</v>
      </c>
      <c r="H47" s="6" t="s">
        <v>1029</v>
      </c>
    </row>
    <row r="48" customFormat="false" ht="15" hidden="false" customHeight="false" outlineLevel="0" collapsed="false">
      <c r="A48" s="5" t="s">
        <v>1031</v>
      </c>
      <c r="B48" s="5" t="s">
        <v>428</v>
      </c>
      <c r="C48" s="6" t="s">
        <v>881</v>
      </c>
      <c r="D48" s="5" t="s">
        <v>477</v>
      </c>
      <c r="E48" s="5" t="s">
        <v>970</v>
      </c>
      <c r="F48" s="5" t="s">
        <v>971</v>
      </c>
      <c r="G48" s="5" t="s">
        <v>1032</v>
      </c>
      <c r="H48" s="6" t="s">
        <v>1033</v>
      </c>
    </row>
    <row r="49" customFormat="false" ht="15" hidden="false" customHeight="false" outlineLevel="0" collapsed="false">
      <c r="A49" s="5" t="s">
        <v>1034</v>
      </c>
      <c r="B49" s="5" t="s">
        <v>428</v>
      </c>
      <c r="C49" s="6" t="s">
        <v>881</v>
      </c>
      <c r="D49" s="5" t="s">
        <v>477</v>
      </c>
      <c r="E49" s="5" t="s">
        <v>970</v>
      </c>
      <c r="F49" s="5" t="s">
        <v>975</v>
      </c>
      <c r="G49" s="5" t="s">
        <v>1032</v>
      </c>
      <c r="H49" s="6" t="s">
        <v>1035</v>
      </c>
    </row>
    <row r="50" customFormat="false" ht="15" hidden="false" customHeight="false" outlineLevel="0" collapsed="false">
      <c r="A50" s="5" t="s">
        <v>1036</v>
      </c>
      <c r="B50" s="5" t="s">
        <v>428</v>
      </c>
      <c r="C50" s="6" t="s">
        <v>881</v>
      </c>
      <c r="D50" s="5" t="s">
        <v>477</v>
      </c>
      <c r="E50" s="5" t="s">
        <v>970</v>
      </c>
      <c r="F50" s="5" t="s">
        <v>975</v>
      </c>
      <c r="G50" s="5" t="s">
        <v>1032</v>
      </c>
      <c r="H50" s="6" t="s">
        <v>1037</v>
      </c>
    </row>
    <row r="51" customFormat="false" ht="23.85" hidden="false" customHeight="false" outlineLevel="0" collapsed="false">
      <c r="A51" s="5" t="s">
        <v>1038</v>
      </c>
      <c r="B51" s="5" t="s">
        <v>428</v>
      </c>
      <c r="C51" s="6" t="s">
        <v>881</v>
      </c>
      <c r="D51" s="5" t="s">
        <v>430</v>
      </c>
      <c r="E51" s="5" t="s">
        <v>970</v>
      </c>
      <c r="F51" s="5" t="s">
        <v>163</v>
      </c>
      <c r="G51" s="5" t="s">
        <v>1032</v>
      </c>
      <c r="H51" s="6" t="s">
        <v>1039</v>
      </c>
    </row>
    <row r="52" customFormat="false" ht="23.85" hidden="false" customHeight="false" outlineLevel="0" collapsed="false">
      <c r="A52" s="5" t="s">
        <v>1040</v>
      </c>
      <c r="B52" s="5" t="s">
        <v>428</v>
      </c>
      <c r="C52" s="6" t="s">
        <v>881</v>
      </c>
      <c r="D52" s="5" t="s">
        <v>430</v>
      </c>
      <c r="E52" s="5" t="s">
        <v>970</v>
      </c>
      <c r="F52" s="5" t="s">
        <v>163</v>
      </c>
      <c r="G52" s="5" t="s">
        <v>1032</v>
      </c>
      <c r="H52" s="6" t="s">
        <v>1039</v>
      </c>
    </row>
    <row r="53" customFormat="false" ht="23.85" hidden="false" customHeight="false" outlineLevel="0" collapsed="false">
      <c r="A53" s="5" t="s">
        <v>1041</v>
      </c>
      <c r="B53" s="5" t="s">
        <v>428</v>
      </c>
      <c r="C53" s="6" t="s">
        <v>881</v>
      </c>
      <c r="D53" s="5" t="s">
        <v>430</v>
      </c>
      <c r="E53" s="5" t="s">
        <v>970</v>
      </c>
      <c r="F53" s="5" t="s">
        <v>163</v>
      </c>
      <c r="G53" s="5" t="s">
        <v>1032</v>
      </c>
      <c r="H53" s="6" t="s">
        <v>1039</v>
      </c>
    </row>
    <row r="54" customFormat="false" ht="23.85" hidden="false" customHeight="false" outlineLevel="0" collapsed="false">
      <c r="A54" s="5" t="s">
        <v>1042</v>
      </c>
      <c r="B54" s="5" t="s">
        <v>428</v>
      </c>
      <c r="C54" s="6" t="s">
        <v>881</v>
      </c>
      <c r="D54" s="5" t="s">
        <v>430</v>
      </c>
      <c r="E54" s="5" t="s">
        <v>970</v>
      </c>
      <c r="F54" s="5" t="s">
        <v>163</v>
      </c>
      <c r="G54" s="5" t="s">
        <v>1032</v>
      </c>
      <c r="H54" s="6" t="s">
        <v>1039</v>
      </c>
    </row>
    <row r="55" customFormat="false" ht="15" hidden="false" customHeight="false" outlineLevel="0" collapsed="false">
      <c r="A55" s="5" t="s">
        <v>1043</v>
      </c>
      <c r="B55" s="5" t="s">
        <v>428</v>
      </c>
      <c r="C55" s="6" t="s">
        <v>886</v>
      </c>
      <c r="D55" s="5" t="s">
        <v>430</v>
      </c>
      <c r="E55" s="5" t="s">
        <v>143</v>
      </c>
      <c r="F55" s="5" t="s">
        <v>1044</v>
      </c>
      <c r="G55" s="5" t="s">
        <v>1045</v>
      </c>
      <c r="H55" s="6" t="s">
        <v>1046</v>
      </c>
    </row>
    <row r="56" customFormat="false" ht="15" hidden="false" customHeight="false" outlineLevel="0" collapsed="false">
      <c r="A56" s="5" t="s">
        <v>1047</v>
      </c>
      <c r="B56" s="5" t="s">
        <v>511</v>
      </c>
      <c r="C56" s="6" t="s">
        <v>890</v>
      </c>
      <c r="D56" s="5" t="s">
        <v>430</v>
      </c>
      <c r="E56" s="5" t="s">
        <v>143</v>
      </c>
      <c r="F56" s="5" t="s">
        <v>94</v>
      </c>
      <c r="G56" s="5" t="s">
        <v>1048</v>
      </c>
      <c r="H56" s="6" t="s">
        <v>1049</v>
      </c>
    </row>
    <row r="57" customFormat="false" ht="15" hidden="false" customHeight="false" outlineLevel="0" collapsed="false">
      <c r="A57" s="5" t="s">
        <v>1050</v>
      </c>
      <c r="B57" s="5" t="s">
        <v>428</v>
      </c>
      <c r="C57" s="6" t="s">
        <v>1051</v>
      </c>
      <c r="D57" s="5" t="s">
        <v>430</v>
      </c>
      <c r="E57" s="5" t="s">
        <v>46</v>
      </c>
      <c r="F57" s="5" t="s">
        <v>1052</v>
      </c>
      <c r="G57" s="5" t="s">
        <v>349</v>
      </c>
      <c r="H57" s="6" t="s">
        <v>1053</v>
      </c>
    </row>
    <row r="58" customFormat="false" ht="15" hidden="false" customHeight="false" outlineLevel="0" collapsed="false">
      <c r="A58" s="5" t="s">
        <v>1054</v>
      </c>
      <c r="B58" s="5" t="s">
        <v>428</v>
      </c>
      <c r="C58" s="6" t="s">
        <v>1055</v>
      </c>
      <c r="D58" s="5" t="s">
        <v>430</v>
      </c>
      <c r="E58" s="5" t="s">
        <v>46</v>
      </c>
      <c r="F58" s="5" t="s">
        <v>1056</v>
      </c>
      <c r="G58" s="5" t="s">
        <v>1057</v>
      </c>
      <c r="H58" s="6" t="s">
        <v>1058</v>
      </c>
    </row>
    <row r="59" customFormat="false" ht="15" hidden="false" customHeight="false" outlineLevel="0" collapsed="false">
      <c r="A59" s="5" t="s">
        <v>1059</v>
      </c>
      <c r="B59" s="5" t="s">
        <v>428</v>
      </c>
      <c r="C59" s="6" t="s">
        <v>881</v>
      </c>
      <c r="D59" s="5" t="s">
        <v>477</v>
      </c>
      <c r="E59" s="5" t="s">
        <v>37</v>
      </c>
      <c r="F59" s="5" t="s">
        <v>993</v>
      </c>
      <c r="G59" s="5" t="s">
        <v>362</v>
      </c>
      <c r="H59" s="6" t="s">
        <v>1060</v>
      </c>
    </row>
    <row r="60" customFormat="false" ht="15" hidden="false" customHeight="false" outlineLevel="0" collapsed="false">
      <c r="A60" s="5" t="s">
        <v>1061</v>
      </c>
      <c r="B60" s="5" t="s">
        <v>511</v>
      </c>
      <c r="C60" s="6" t="s">
        <v>1062</v>
      </c>
      <c r="D60" s="5" t="s">
        <v>430</v>
      </c>
      <c r="E60" s="5" t="s">
        <v>400</v>
      </c>
      <c r="F60" s="5" t="s">
        <v>895</v>
      </c>
      <c r="G60" s="5" t="s">
        <v>1063</v>
      </c>
      <c r="H60" s="6" t="s">
        <v>1064</v>
      </c>
    </row>
    <row r="61" customFormat="false" ht="15" hidden="false" customHeight="false" outlineLevel="0" collapsed="false">
      <c r="A61" s="5" t="s">
        <v>1065</v>
      </c>
      <c r="B61" s="5" t="s">
        <v>511</v>
      </c>
      <c r="C61" s="6" t="s">
        <v>1062</v>
      </c>
      <c r="D61" s="5" t="s">
        <v>430</v>
      </c>
      <c r="E61" s="5" t="s">
        <v>400</v>
      </c>
      <c r="F61" s="5" t="s">
        <v>73</v>
      </c>
      <c r="G61" s="5" t="s">
        <v>1063</v>
      </c>
      <c r="H61" s="6" t="s">
        <v>1064</v>
      </c>
    </row>
    <row r="62" customFormat="false" ht="15" hidden="false" customHeight="false" outlineLevel="0" collapsed="false">
      <c r="A62" s="5" t="s">
        <v>1066</v>
      </c>
      <c r="B62" s="5" t="s">
        <v>428</v>
      </c>
      <c r="C62" s="6" t="s">
        <v>894</v>
      </c>
      <c r="D62" s="5" t="s">
        <v>430</v>
      </c>
      <c r="E62" s="5" t="s">
        <v>46</v>
      </c>
      <c r="F62" s="5" t="s">
        <v>1067</v>
      </c>
      <c r="G62" s="5" t="s">
        <v>1068</v>
      </c>
      <c r="H62" s="6" t="s">
        <v>1069</v>
      </c>
    </row>
    <row r="63" customFormat="false" ht="15" hidden="false" customHeight="false" outlineLevel="0" collapsed="false">
      <c r="A63" s="5" t="s">
        <v>1070</v>
      </c>
      <c r="B63" s="5" t="s">
        <v>511</v>
      </c>
      <c r="C63" s="6" t="s">
        <v>1071</v>
      </c>
      <c r="D63" s="5" t="s">
        <v>430</v>
      </c>
      <c r="E63" s="5" t="s">
        <v>81</v>
      </c>
      <c r="F63" s="5" t="s">
        <v>798</v>
      </c>
      <c r="G63" s="5" t="s">
        <v>1072</v>
      </c>
      <c r="H63" s="6" t="s">
        <v>1073</v>
      </c>
    </row>
    <row r="64" customFormat="false" ht="23.85" hidden="false" customHeight="false" outlineLevel="0" collapsed="false">
      <c r="A64" s="5" t="s">
        <v>1074</v>
      </c>
      <c r="B64" s="5" t="s">
        <v>454</v>
      </c>
      <c r="C64" s="6" t="s">
        <v>894</v>
      </c>
      <c r="D64" s="5" t="s">
        <v>430</v>
      </c>
      <c r="E64" s="5" t="s">
        <v>46</v>
      </c>
      <c r="F64" s="5" t="s">
        <v>110</v>
      </c>
      <c r="G64" s="5" t="s">
        <v>1075</v>
      </c>
      <c r="H64" s="6" t="s">
        <v>1075</v>
      </c>
    </row>
    <row r="65" customFormat="false" ht="15" hidden="false" customHeight="false" outlineLevel="0" collapsed="false">
      <c r="A65" s="5" t="s">
        <v>1076</v>
      </c>
      <c r="B65" s="5" t="s">
        <v>511</v>
      </c>
      <c r="C65" s="6" t="s">
        <v>919</v>
      </c>
      <c r="D65" s="5" t="s">
        <v>430</v>
      </c>
      <c r="E65" s="5" t="s">
        <v>405</v>
      </c>
      <c r="F65" s="5" t="s">
        <v>281</v>
      </c>
      <c r="G65" s="5" t="s">
        <v>1077</v>
      </c>
      <c r="H65" s="6" t="s">
        <v>1078</v>
      </c>
    </row>
    <row r="66" customFormat="false" ht="15" hidden="false" customHeight="false" outlineLevel="0" collapsed="false">
      <c r="A66" s="5" t="s">
        <v>1079</v>
      </c>
      <c r="B66" s="5" t="s">
        <v>511</v>
      </c>
      <c r="C66" s="6" t="s">
        <v>903</v>
      </c>
      <c r="D66" s="5" t="s">
        <v>430</v>
      </c>
      <c r="E66" s="5" t="s">
        <v>1080</v>
      </c>
      <c r="F66" s="5" t="s">
        <v>1081</v>
      </c>
      <c r="G66" s="5" t="s">
        <v>1082</v>
      </c>
      <c r="H66" s="6" t="s">
        <v>1082</v>
      </c>
    </row>
    <row r="67" customFormat="false" ht="15" hidden="false" customHeight="false" outlineLevel="0" collapsed="false">
      <c r="A67" s="5" t="s">
        <v>1083</v>
      </c>
      <c r="B67" s="5" t="s">
        <v>511</v>
      </c>
      <c r="C67" s="6" t="s">
        <v>919</v>
      </c>
      <c r="D67" s="5" t="s">
        <v>430</v>
      </c>
      <c r="E67" s="5" t="s">
        <v>405</v>
      </c>
      <c r="F67" s="5" t="s">
        <v>277</v>
      </c>
      <c r="G67" s="5" t="s">
        <v>1084</v>
      </c>
      <c r="H67" s="6" t="s">
        <v>1085</v>
      </c>
    </row>
    <row r="68" customFormat="false" ht="15" hidden="false" customHeight="false" outlineLevel="0" collapsed="false">
      <c r="A68" s="5" t="s">
        <v>1086</v>
      </c>
      <c r="B68" s="5" t="s">
        <v>511</v>
      </c>
      <c r="C68" s="6" t="s">
        <v>919</v>
      </c>
      <c r="D68" s="5" t="s">
        <v>430</v>
      </c>
      <c r="E68" s="5" t="s">
        <v>405</v>
      </c>
      <c r="F68" s="5" t="s">
        <v>1087</v>
      </c>
      <c r="G68" s="5" t="s">
        <v>1084</v>
      </c>
      <c r="H68" s="6" t="s">
        <v>1085</v>
      </c>
    </row>
    <row r="69" customFormat="false" ht="15" hidden="false" customHeight="false" outlineLevel="0" collapsed="false">
      <c r="A69" s="5" t="s">
        <v>1088</v>
      </c>
      <c r="B69" s="5" t="s">
        <v>511</v>
      </c>
      <c r="C69" s="6" t="s">
        <v>933</v>
      </c>
      <c r="D69" s="5" t="s">
        <v>430</v>
      </c>
      <c r="E69" s="5" t="s">
        <v>400</v>
      </c>
      <c r="F69" s="5" t="s">
        <v>1089</v>
      </c>
      <c r="G69" s="5" t="s">
        <v>1090</v>
      </c>
      <c r="H69" s="6" t="s">
        <v>1091</v>
      </c>
    </row>
    <row r="70" customFormat="false" ht="15" hidden="false" customHeight="false" outlineLevel="0" collapsed="false">
      <c r="A70" s="5" t="s">
        <v>1092</v>
      </c>
      <c r="B70" s="5" t="s">
        <v>428</v>
      </c>
      <c r="C70" s="6" t="s">
        <v>886</v>
      </c>
      <c r="D70" s="5" t="s">
        <v>430</v>
      </c>
      <c r="E70" s="5" t="s">
        <v>143</v>
      </c>
      <c r="F70" s="5" t="s">
        <v>1093</v>
      </c>
      <c r="G70" s="5" t="s">
        <v>1094</v>
      </c>
      <c r="H70" s="6" t="s">
        <v>1095</v>
      </c>
    </row>
    <row r="71" customFormat="false" ht="15" hidden="false" customHeight="false" outlineLevel="0" collapsed="false">
      <c r="A71" s="5" t="s">
        <v>1096</v>
      </c>
      <c r="B71" s="5" t="s">
        <v>511</v>
      </c>
      <c r="C71" s="6" t="s">
        <v>919</v>
      </c>
      <c r="D71" s="5" t="s">
        <v>430</v>
      </c>
      <c r="E71" s="5" t="s">
        <v>405</v>
      </c>
      <c r="F71" s="5" t="s">
        <v>64</v>
      </c>
      <c r="G71" s="5" t="s">
        <v>1097</v>
      </c>
      <c r="H71" s="6" t="s">
        <v>1098</v>
      </c>
    </row>
    <row r="72" customFormat="false" ht="15" hidden="false" customHeight="false" outlineLevel="0" collapsed="false">
      <c r="A72" s="5" t="s">
        <v>1099</v>
      </c>
      <c r="B72" s="5" t="s">
        <v>428</v>
      </c>
      <c r="C72" s="6" t="s">
        <v>910</v>
      </c>
      <c r="D72" s="5" t="s">
        <v>430</v>
      </c>
      <c r="E72" s="5" t="s">
        <v>46</v>
      </c>
      <c r="F72" s="5" t="s">
        <v>1100</v>
      </c>
      <c r="G72" s="5" t="s">
        <v>1101</v>
      </c>
      <c r="H72" s="6" t="s">
        <v>1102</v>
      </c>
    </row>
    <row r="73" customFormat="false" ht="15" hidden="false" customHeight="false" outlineLevel="0" collapsed="false">
      <c r="A73" s="5" t="s">
        <v>1103</v>
      </c>
      <c r="B73" s="5" t="s">
        <v>511</v>
      </c>
      <c r="C73" s="6" t="s">
        <v>1104</v>
      </c>
      <c r="D73" s="5" t="s">
        <v>837</v>
      </c>
      <c r="E73" s="5" t="s">
        <v>81</v>
      </c>
      <c r="F73" s="5" t="s">
        <v>307</v>
      </c>
      <c r="G73" s="5" t="s">
        <v>1105</v>
      </c>
      <c r="H73" s="6" t="s">
        <v>1106</v>
      </c>
    </row>
    <row r="74" customFormat="false" ht="15" hidden="false" customHeight="false" outlineLevel="0" collapsed="false">
      <c r="A74" s="5" t="s">
        <v>1107</v>
      </c>
      <c r="B74" s="5" t="s">
        <v>511</v>
      </c>
      <c r="C74" s="6" t="s">
        <v>919</v>
      </c>
      <c r="D74" s="5" t="s">
        <v>430</v>
      </c>
      <c r="E74" s="5" t="s">
        <v>405</v>
      </c>
      <c r="F74" s="5" t="s">
        <v>110</v>
      </c>
      <c r="G74" s="5" t="s">
        <v>1108</v>
      </c>
      <c r="H74" s="6" t="s">
        <v>1109</v>
      </c>
    </row>
    <row r="75" customFormat="false" ht="15" hidden="false" customHeight="false" outlineLevel="0" collapsed="false">
      <c r="A75" s="5" t="s">
        <v>1110</v>
      </c>
      <c r="B75" s="5" t="s">
        <v>454</v>
      </c>
      <c r="C75" s="6" t="s">
        <v>933</v>
      </c>
      <c r="D75" s="5" t="s">
        <v>430</v>
      </c>
      <c r="E75" s="5" t="s">
        <v>400</v>
      </c>
      <c r="F75" s="5" t="s">
        <v>301</v>
      </c>
      <c r="G75" s="5" t="s">
        <v>1111</v>
      </c>
      <c r="H75" s="6" t="s">
        <v>1112</v>
      </c>
    </row>
    <row r="76" customFormat="false" ht="15" hidden="false" customHeight="false" outlineLevel="0" collapsed="false">
      <c r="A76" s="5" t="s">
        <v>1113</v>
      </c>
      <c r="B76" s="5" t="s">
        <v>511</v>
      </c>
      <c r="C76" s="6" t="s">
        <v>903</v>
      </c>
      <c r="D76" s="5" t="s">
        <v>430</v>
      </c>
      <c r="E76" s="5" t="s">
        <v>133</v>
      </c>
      <c r="F76" s="5" t="s">
        <v>129</v>
      </c>
      <c r="G76" s="5" t="s">
        <v>1114</v>
      </c>
      <c r="H76" s="6" t="s">
        <v>1115</v>
      </c>
    </row>
    <row r="77" customFormat="false" ht="15" hidden="false" customHeight="false" outlineLevel="0" collapsed="false">
      <c r="A77" s="5" t="s">
        <v>1116</v>
      </c>
      <c r="B77" s="5" t="s">
        <v>454</v>
      </c>
      <c r="C77" s="6" t="s">
        <v>910</v>
      </c>
      <c r="D77" s="5" t="s">
        <v>430</v>
      </c>
      <c r="E77" s="5" t="s">
        <v>143</v>
      </c>
      <c r="F77" s="5" t="s">
        <v>267</v>
      </c>
      <c r="G77" s="5" t="s">
        <v>1117</v>
      </c>
      <c r="H77" s="6" t="s">
        <v>1118</v>
      </c>
    </row>
    <row r="78" customFormat="false" ht="15" hidden="false" customHeight="false" outlineLevel="0" collapsed="false">
      <c r="A78" s="5" t="s">
        <v>1119</v>
      </c>
      <c r="B78" s="5" t="s">
        <v>454</v>
      </c>
      <c r="C78" s="6" t="s">
        <v>910</v>
      </c>
      <c r="D78" s="5" t="s">
        <v>430</v>
      </c>
      <c r="E78" s="5" t="s">
        <v>143</v>
      </c>
      <c r="F78" s="5" t="s">
        <v>267</v>
      </c>
      <c r="G78" s="5" t="s">
        <v>1117</v>
      </c>
      <c r="H78" s="6" t="s">
        <v>1118</v>
      </c>
    </row>
    <row r="79" customFormat="false" ht="15" hidden="false" customHeight="false" outlineLevel="0" collapsed="false">
      <c r="A79" s="5" t="s">
        <v>1120</v>
      </c>
      <c r="B79" s="5" t="s">
        <v>454</v>
      </c>
      <c r="C79" s="6" t="s">
        <v>910</v>
      </c>
      <c r="D79" s="5" t="s">
        <v>430</v>
      </c>
      <c r="E79" s="5" t="s">
        <v>143</v>
      </c>
      <c r="F79" s="5" t="s">
        <v>267</v>
      </c>
      <c r="G79" s="5" t="s">
        <v>1117</v>
      </c>
      <c r="H79" s="6" t="s">
        <v>1118</v>
      </c>
    </row>
    <row r="80" customFormat="false" ht="15" hidden="false" customHeight="false" outlineLevel="0" collapsed="false">
      <c r="A80" s="5" t="s">
        <v>1121</v>
      </c>
      <c r="B80" s="5" t="s">
        <v>454</v>
      </c>
      <c r="C80" s="6" t="s">
        <v>910</v>
      </c>
      <c r="D80" s="5" t="s">
        <v>430</v>
      </c>
      <c r="E80" s="5" t="s">
        <v>143</v>
      </c>
      <c r="F80" s="5" t="s">
        <v>267</v>
      </c>
      <c r="G80" s="5" t="s">
        <v>1117</v>
      </c>
      <c r="H80" s="6" t="s">
        <v>1118</v>
      </c>
    </row>
    <row r="81" customFormat="false" ht="15" hidden="false" customHeight="false" outlineLevel="0" collapsed="false">
      <c r="A81" s="5" t="s">
        <v>1122</v>
      </c>
      <c r="B81" s="5" t="s">
        <v>454</v>
      </c>
      <c r="C81" s="6" t="s">
        <v>910</v>
      </c>
      <c r="D81" s="5" t="s">
        <v>430</v>
      </c>
      <c r="E81" s="5" t="s">
        <v>143</v>
      </c>
      <c r="F81" s="5" t="s">
        <v>267</v>
      </c>
      <c r="G81" s="5" t="s">
        <v>1117</v>
      </c>
      <c r="H81" s="6" t="s">
        <v>1118</v>
      </c>
    </row>
    <row r="82" customFormat="false" ht="15" hidden="false" customHeight="false" outlineLevel="0" collapsed="false">
      <c r="A82" s="5" t="s">
        <v>1123</v>
      </c>
      <c r="B82" s="5" t="s">
        <v>454</v>
      </c>
      <c r="C82" s="6" t="s">
        <v>910</v>
      </c>
      <c r="D82" s="5" t="s">
        <v>430</v>
      </c>
      <c r="E82" s="5" t="s">
        <v>405</v>
      </c>
      <c r="F82" s="5" t="s">
        <v>563</v>
      </c>
      <c r="G82" s="5" t="s">
        <v>1117</v>
      </c>
      <c r="H82" s="6" t="s">
        <v>1118</v>
      </c>
    </row>
    <row r="83" customFormat="false" ht="15" hidden="false" customHeight="false" outlineLevel="0" collapsed="false">
      <c r="A83" s="5" t="s">
        <v>1124</v>
      </c>
      <c r="B83" s="5" t="s">
        <v>511</v>
      </c>
      <c r="C83" s="6" t="s">
        <v>914</v>
      </c>
      <c r="D83" s="5" t="s">
        <v>430</v>
      </c>
      <c r="E83" s="5" t="s">
        <v>400</v>
      </c>
      <c r="F83" s="5" t="s">
        <v>1125</v>
      </c>
      <c r="G83" s="5" t="s">
        <v>1126</v>
      </c>
      <c r="H83" s="6" t="s">
        <v>1127</v>
      </c>
    </row>
    <row r="84" customFormat="false" ht="15" hidden="false" customHeight="false" outlineLevel="0" collapsed="false">
      <c r="A84" s="5" t="s">
        <v>1128</v>
      </c>
      <c r="B84" s="5" t="s">
        <v>511</v>
      </c>
      <c r="C84" s="6" t="s">
        <v>914</v>
      </c>
      <c r="D84" s="5" t="s">
        <v>430</v>
      </c>
      <c r="E84" s="5" t="s">
        <v>400</v>
      </c>
      <c r="F84" s="5" t="s">
        <v>94</v>
      </c>
      <c r="G84" s="5" t="s">
        <v>1126</v>
      </c>
      <c r="H84" s="6" t="s">
        <v>1127</v>
      </c>
    </row>
    <row r="85" customFormat="false" ht="15" hidden="false" customHeight="false" outlineLevel="0" collapsed="false">
      <c r="A85" s="5" t="s">
        <v>1129</v>
      </c>
      <c r="B85" s="5" t="s">
        <v>428</v>
      </c>
      <c r="C85" s="6" t="s">
        <v>886</v>
      </c>
      <c r="D85" s="5" t="s">
        <v>430</v>
      </c>
      <c r="E85" s="5" t="s">
        <v>46</v>
      </c>
      <c r="F85" s="5" t="s">
        <v>1130</v>
      </c>
      <c r="G85" s="5" t="s">
        <v>1131</v>
      </c>
      <c r="H85" s="6" t="s">
        <v>1132</v>
      </c>
    </row>
    <row r="86" customFormat="false" ht="15" hidden="false" customHeight="false" outlineLevel="0" collapsed="false">
      <c r="A86" s="5" t="s">
        <v>1133</v>
      </c>
      <c r="B86" s="5" t="s">
        <v>428</v>
      </c>
      <c r="C86" s="6" t="s">
        <v>1134</v>
      </c>
      <c r="D86" s="5" t="s">
        <v>430</v>
      </c>
      <c r="E86" s="5" t="s">
        <v>405</v>
      </c>
      <c r="F86" s="5" t="s">
        <v>83</v>
      </c>
      <c r="G86" s="5" t="s">
        <v>1135</v>
      </c>
      <c r="H86" s="6" t="s">
        <v>1136</v>
      </c>
    </row>
    <row r="87" customFormat="false" ht="15" hidden="false" customHeight="false" outlineLevel="0" collapsed="false">
      <c r="A87" s="5" t="s">
        <v>1137</v>
      </c>
      <c r="B87" s="5" t="s">
        <v>511</v>
      </c>
      <c r="C87" s="6" t="s">
        <v>890</v>
      </c>
      <c r="D87" s="5" t="s">
        <v>430</v>
      </c>
      <c r="E87" s="5" t="s">
        <v>81</v>
      </c>
      <c r="F87" s="5" t="s">
        <v>1081</v>
      </c>
      <c r="G87" s="5" t="s">
        <v>1138</v>
      </c>
      <c r="H87" s="6" t="s">
        <v>1139</v>
      </c>
    </row>
    <row r="88" customFormat="false" ht="15" hidden="false" customHeight="false" outlineLevel="0" collapsed="false">
      <c r="A88" s="5" t="s">
        <v>1140</v>
      </c>
      <c r="B88" s="5" t="s">
        <v>511</v>
      </c>
      <c r="C88" s="6" t="s">
        <v>890</v>
      </c>
      <c r="D88" s="5" t="s">
        <v>430</v>
      </c>
      <c r="E88" s="5" t="s">
        <v>81</v>
      </c>
      <c r="F88" s="5" t="s">
        <v>1081</v>
      </c>
      <c r="G88" s="5" t="s">
        <v>1138</v>
      </c>
      <c r="H88" s="6" t="s">
        <v>1139</v>
      </c>
    </row>
    <row r="89" customFormat="false" ht="15" hidden="false" customHeight="false" outlineLevel="0" collapsed="false">
      <c r="A89" s="5" t="s">
        <v>1141</v>
      </c>
      <c r="B89" s="5" t="s">
        <v>511</v>
      </c>
      <c r="C89" s="6" t="s">
        <v>890</v>
      </c>
      <c r="D89" s="5" t="s">
        <v>430</v>
      </c>
      <c r="E89" s="5" t="s">
        <v>81</v>
      </c>
      <c r="F89" s="5" t="s">
        <v>1081</v>
      </c>
      <c r="G89" s="5" t="s">
        <v>1138</v>
      </c>
      <c r="H89" s="6" t="s">
        <v>1139</v>
      </c>
    </row>
    <row r="90" customFormat="false" ht="15" hidden="false" customHeight="false" outlineLevel="0" collapsed="false">
      <c r="A90" s="5" t="s">
        <v>1142</v>
      </c>
      <c r="B90" s="5" t="s">
        <v>511</v>
      </c>
      <c r="C90" s="6" t="s">
        <v>890</v>
      </c>
      <c r="D90" s="5" t="s">
        <v>430</v>
      </c>
      <c r="E90" s="5" t="s">
        <v>81</v>
      </c>
      <c r="F90" s="5" t="s">
        <v>1081</v>
      </c>
      <c r="G90" s="5" t="s">
        <v>1138</v>
      </c>
      <c r="H90" s="6" t="s">
        <v>1139</v>
      </c>
    </row>
    <row r="91" customFormat="false" ht="15" hidden="false" customHeight="false" outlineLevel="0" collapsed="false">
      <c r="A91" s="5" t="s">
        <v>1143</v>
      </c>
      <c r="B91" s="5" t="s">
        <v>511</v>
      </c>
      <c r="C91" s="6" t="s">
        <v>890</v>
      </c>
      <c r="D91" s="5" t="s">
        <v>430</v>
      </c>
      <c r="E91" s="5" t="s">
        <v>81</v>
      </c>
      <c r="F91" s="5" t="s">
        <v>1081</v>
      </c>
      <c r="G91" s="5" t="s">
        <v>1138</v>
      </c>
      <c r="H91" s="6" t="s">
        <v>1139</v>
      </c>
    </row>
    <row r="92" customFormat="false" ht="15" hidden="false" customHeight="false" outlineLevel="0" collapsed="false">
      <c r="A92" s="5" t="s">
        <v>1144</v>
      </c>
      <c r="B92" s="5" t="s">
        <v>511</v>
      </c>
      <c r="C92" s="6" t="s">
        <v>890</v>
      </c>
      <c r="D92" s="5" t="s">
        <v>430</v>
      </c>
      <c r="E92" s="5" t="s">
        <v>81</v>
      </c>
      <c r="F92" s="5" t="s">
        <v>1081</v>
      </c>
      <c r="G92" s="5" t="s">
        <v>1138</v>
      </c>
      <c r="H92" s="6" t="s">
        <v>1139</v>
      </c>
    </row>
    <row r="93" customFormat="false" ht="15" hidden="false" customHeight="false" outlineLevel="0" collapsed="false">
      <c r="A93" s="5" t="s">
        <v>1145</v>
      </c>
      <c r="B93" s="5" t="s">
        <v>511</v>
      </c>
      <c r="C93" s="6" t="s">
        <v>890</v>
      </c>
      <c r="D93" s="5" t="s">
        <v>430</v>
      </c>
      <c r="E93" s="5" t="s">
        <v>81</v>
      </c>
      <c r="F93" s="5" t="s">
        <v>1081</v>
      </c>
      <c r="G93" s="5" t="s">
        <v>1138</v>
      </c>
      <c r="H93" s="6" t="s">
        <v>1139</v>
      </c>
    </row>
    <row r="94" customFormat="false" ht="15" hidden="false" customHeight="false" outlineLevel="0" collapsed="false">
      <c r="A94" s="5" t="s">
        <v>1146</v>
      </c>
      <c r="B94" s="5" t="s">
        <v>511</v>
      </c>
      <c r="C94" s="6" t="s">
        <v>890</v>
      </c>
      <c r="D94" s="5" t="s">
        <v>430</v>
      </c>
      <c r="E94" s="5" t="s">
        <v>81</v>
      </c>
      <c r="F94" s="5" t="s">
        <v>1081</v>
      </c>
      <c r="G94" s="5" t="s">
        <v>1138</v>
      </c>
      <c r="H94" s="6" t="s">
        <v>1139</v>
      </c>
    </row>
    <row r="95" customFormat="false" ht="15" hidden="false" customHeight="false" outlineLevel="0" collapsed="false">
      <c r="A95" s="5" t="s">
        <v>1147</v>
      </c>
      <c r="B95" s="5" t="s">
        <v>511</v>
      </c>
      <c r="C95" s="6" t="s">
        <v>890</v>
      </c>
      <c r="D95" s="5" t="s">
        <v>430</v>
      </c>
      <c r="E95" s="5" t="s">
        <v>81</v>
      </c>
      <c r="F95" s="5" t="s">
        <v>1081</v>
      </c>
      <c r="G95" s="5" t="s">
        <v>1138</v>
      </c>
      <c r="H95" s="6" t="s">
        <v>1139</v>
      </c>
    </row>
    <row r="96" customFormat="false" ht="15" hidden="false" customHeight="false" outlineLevel="0" collapsed="false">
      <c r="A96" s="5" t="s">
        <v>1148</v>
      </c>
      <c r="B96" s="5" t="s">
        <v>454</v>
      </c>
      <c r="C96" s="6" t="s">
        <v>914</v>
      </c>
      <c r="D96" s="5" t="s">
        <v>430</v>
      </c>
      <c r="E96" s="5" t="s">
        <v>1149</v>
      </c>
      <c r="F96" s="5" t="s">
        <v>798</v>
      </c>
      <c r="G96" s="5" t="s">
        <v>1150</v>
      </c>
      <c r="H96" s="6" t="s">
        <v>1151</v>
      </c>
    </row>
    <row r="97" customFormat="false" ht="15" hidden="false" customHeight="false" outlineLevel="0" collapsed="false">
      <c r="A97" s="5" t="s">
        <v>1152</v>
      </c>
      <c r="B97" s="5" t="s">
        <v>428</v>
      </c>
      <c r="C97" s="6" t="s">
        <v>881</v>
      </c>
      <c r="D97" s="5" t="s">
        <v>430</v>
      </c>
      <c r="E97" s="5" t="s">
        <v>1153</v>
      </c>
      <c r="F97" s="5" t="s">
        <v>1154</v>
      </c>
      <c r="G97" s="5" t="s">
        <v>1155</v>
      </c>
      <c r="H97" s="6" t="s">
        <v>1155</v>
      </c>
    </row>
    <row r="98" customFormat="false" ht="15" hidden="false" customHeight="false" outlineLevel="0" collapsed="false">
      <c r="A98" s="5" t="s">
        <v>1156</v>
      </c>
      <c r="B98" s="5" t="s">
        <v>511</v>
      </c>
      <c r="C98" s="6" t="s">
        <v>881</v>
      </c>
      <c r="D98" s="5" t="s">
        <v>477</v>
      </c>
      <c r="E98" s="5" t="s">
        <v>81</v>
      </c>
      <c r="F98" s="5" t="s">
        <v>816</v>
      </c>
      <c r="G98" s="5" t="s">
        <v>1157</v>
      </c>
      <c r="H98" s="6" t="s">
        <v>1157</v>
      </c>
    </row>
    <row r="99" customFormat="false" ht="15" hidden="false" customHeight="false" outlineLevel="0" collapsed="false">
      <c r="A99" s="5" t="s">
        <v>1158</v>
      </c>
      <c r="B99" s="5" t="s">
        <v>511</v>
      </c>
      <c r="C99" s="6" t="s">
        <v>988</v>
      </c>
      <c r="D99" s="5" t="s">
        <v>477</v>
      </c>
      <c r="E99" s="5" t="s">
        <v>81</v>
      </c>
      <c r="F99" s="5" t="s">
        <v>65</v>
      </c>
      <c r="G99" s="5" t="s">
        <v>1159</v>
      </c>
      <c r="H99" s="6" t="s">
        <v>1159</v>
      </c>
    </row>
    <row r="100" customFormat="false" ht="15" hidden="false" customHeight="false" outlineLevel="0" collapsed="false">
      <c r="A100" s="5" t="s">
        <v>1160</v>
      </c>
      <c r="B100" s="5" t="s">
        <v>511</v>
      </c>
      <c r="C100" s="6" t="s">
        <v>919</v>
      </c>
      <c r="D100" s="5" t="s">
        <v>430</v>
      </c>
      <c r="E100" s="5" t="s">
        <v>405</v>
      </c>
      <c r="F100" s="5" t="s">
        <v>277</v>
      </c>
      <c r="G100" s="5" t="s">
        <v>1161</v>
      </c>
      <c r="H100" s="6" t="s">
        <v>1162</v>
      </c>
    </row>
    <row r="101" customFormat="false" ht="15" hidden="false" customHeight="false" outlineLevel="0" collapsed="false">
      <c r="A101" s="5" t="s">
        <v>1163</v>
      </c>
      <c r="B101" s="5" t="s">
        <v>511</v>
      </c>
      <c r="C101" s="6" t="s">
        <v>890</v>
      </c>
      <c r="D101" s="5" t="s">
        <v>430</v>
      </c>
      <c r="E101" s="5" t="s">
        <v>81</v>
      </c>
      <c r="F101" s="5" t="s">
        <v>149</v>
      </c>
      <c r="G101" s="5" t="s">
        <v>1164</v>
      </c>
      <c r="H101" s="6" t="s">
        <v>1165</v>
      </c>
    </row>
    <row r="102" customFormat="false" ht="15" hidden="false" customHeight="false" outlineLevel="0" collapsed="false">
      <c r="A102" s="5" t="s">
        <v>1166</v>
      </c>
      <c r="B102" s="5" t="s">
        <v>511</v>
      </c>
      <c r="C102" s="6" t="s">
        <v>899</v>
      </c>
      <c r="D102" s="5" t="s">
        <v>430</v>
      </c>
      <c r="E102" s="5" t="s">
        <v>81</v>
      </c>
      <c r="F102" s="5" t="s">
        <v>211</v>
      </c>
      <c r="G102" s="5" t="s">
        <v>1167</v>
      </c>
      <c r="H102" s="6" t="s">
        <v>1168</v>
      </c>
    </row>
    <row r="103" customFormat="false" ht="15" hidden="false" customHeight="false" outlineLevel="0" collapsed="false">
      <c r="A103" s="5" t="s">
        <v>1169</v>
      </c>
      <c r="B103" s="5" t="s">
        <v>511</v>
      </c>
      <c r="C103" s="6" t="s">
        <v>1170</v>
      </c>
      <c r="D103" s="5" t="s">
        <v>430</v>
      </c>
      <c r="E103" s="5" t="s">
        <v>81</v>
      </c>
      <c r="F103" s="5" t="s">
        <v>124</v>
      </c>
      <c r="G103" s="5" t="s">
        <v>1167</v>
      </c>
      <c r="H103" s="6" t="s">
        <v>1171</v>
      </c>
    </row>
    <row r="104" customFormat="false" ht="15" hidden="false" customHeight="false" outlineLevel="0" collapsed="false">
      <c r="A104" s="5" t="s">
        <v>1172</v>
      </c>
      <c r="B104" s="5" t="s">
        <v>511</v>
      </c>
      <c r="C104" s="6" t="s">
        <v>881</v>
      </c>
      <c r="D104" s="5" t="s">
        <v>430</v>
      </c>
      <c r="E104" s="5" t="s">
        <v>81</v>
      </c>
      <c r="F104" s="5" t="s">
        <v>39</v>
      </c>
      <c r="G104" s="5" t="s">
        <v>1173</v>
      </c>
      <c r="H104" s="6" t="s">
        <v>1174</v>
      </c>
    </row>
    <row r="105" customFormat="false" ht="15" hidden="false" customHeight="false" outlineLevel="0" collapsed="false">
      <c r="A105" s="5" t="s">
        <v>1175</v>
      </c>
      <c r="B105" s="5" t="s">
        <v>511</v>
      </c>
      <c r="C105" s="6" t="s">
        <v>890</v>
      </c>
      <c r="D105" s="5" t="s">
        <v>430</v>
      </c>
      <c r="E105" s="5" t="s">
        <v>81</v>
      </c>
      <c r="F105" s="5" t="s">
        <v>134</v>
      </c>
      <c r="G105" s="5" t="s">
        <v>1176</v>
      </c>
      <c r="H105" s="6" t="s">
        <v>1177</v>
      </c>
    </row>
    <row r="106" customFormat="false" ht="15" hidden="false" customHeight="false" outlineLevel="0" collapsed="false">
      <c r="A106" s="5" t="s">
        <v>1178</v>
      </c>
      <c r="B106" s="5" t="s">
        <v>511</v>
      </c>
      <c r="C106" s="6" t="s">
        <v>881</v>
      </c>
      <c r="D106" s="5" t="s">
        <v>837</v>
      </c>
      <c r="E106" s="5" t="s">
        <v>81</v>
      </c>
      <c r="F106" s="5" t="s">
        <v>222</v>
      </c>
      <c r="G106" s="5" t="s">
        <v>1179</v>
      </c>
      <c r="H106" s="6" t="s">
        <v>1180</v>
      </c>
    </row>
    <row r="107" customFormat="false" ht="15" hidden="false" customHeight="false" outlineLevel="0" collapsed="false">
      <c r="A107" s="5" t="s">
        <v>1181</v>
      </c>
      <c r="B107" s="5" t="s">
        <v>428</v>
      </c>
      <c r="C107" s="6" t="s">
        <v>881</v>
      </c>
      <c r="D107" s="5" t="s">
        <v>837</v>
      </c>
      <c r="E107" s="5" t="s">
        <v>81</v>
      </c>
      <c r="F107" s="5" t="s">
        <v>343</v>
      </c>
      <c r="G107" s="5" t="s">
        <v>1182</v>
      </c>
      <c r="H107" s="6" t="s">
        <v>1183</v>
      </c>
    </row>
    <row r="108" customFormat="false" ht="15" hidden="false" customHeight="false" outlineLevel="0" collapsed="false">
      <c r="A108" s="5" t="s">
        <v>1184</v>
      </c>
      <c r="B108" s="5" t="s">
        <v>428</v>
      </c>
      <c r="C108" s="6" t="s">
        <v>881</v>
      </c>
      <c r="D108" s="5" t="s">
        <v>837</v>
      </c>
      <c r="E108" s="5" t="s">
        <v>81</v>
      </c>
      <c r="F108" s="5" t="s">
        <v>343</v>
      </c>
      <c r="G108" s="5" t="s">
        <v>1182</v>
      </c>
      <c r="H108" s="6" t="s">
        <v>1183</v>
      </c>
    </row>
    <row r="109" customFormat="false" ht="15" hidden="false" customHeight="false" outlineLevel="0" collapsed="false">
      <c r="A109" s="5" t="s">
        <v>1185</v>
      </c>
      <c r="B109" s="5" t="s">
        <v>428</v>
      </c>
      <c r="C109" s="6" t="s">
        <v>881</v>
      </c>
      <c r="D109" s="5" t="s">
        <v>837</v>
      </c>
      <c r="E109" s="5" t="s">
        <v>81</v>
      </c>
      <c r="F109" s="5" t="s">
        <v>343</v>
      </c>
      <c r="G109" s="5" t="s">
        <v>1182</v>
      </c>
      <c r="H109" s="6" t="s">
        <v>1183</v>
      </c>
    </row>
    <row r="110" customFormat="false" ht="15" hidden="false" customHeight="false" outlineLevel="0" collapsed="false">
      <c r="A110" s="5" t="s">
        <v>1186</v>
      </c>
      <c r="B110" s="5" t="s">
        <v>428</v>
      </c>
      <c r="C110" s="6" t="s">
        <v>881</v>
      </c>
      <c r="D110" s="5" t="s">
        <v>837</v>
      </c>
      <c r="E110" s="5" t="s">
        <v>81</v>
      </c>
      <c r="F110" s="5" t="s">
        <v>343</v>
      </c>
      <c r="G110" s="5" t="s">
        <v>1182</v>
      </c>
      <c r="H110" s="6" t="s">
        <v>1183</v>
      </c>
    </row>
    <row r="111" customFormat="false" ht="15" hidden="false" customHeight="false" outlineLevel="0" collapsed="false">
      <c r="A111" s="5" t="s">
        <v>1187</v>
      </c>
      <c r="B111" s="5" t="s">
        <v>454</v>
      </c>
      <c r="C111" s="6" t="s">
        <v>877</v>
      </c>
      <c r="D111" s="5" t="s">
        <v>430</v>
      </c>
      <c r="E111" s="5" t="s">
        <v>81</v>
      </c>
      <c r="F111" s="5" t="s">
        <v>120</v>
      </c>
      <c r="G111" s="5" t="s">
        <v>1188</v>
      </c>
      <c r="H111" s="6" t="s">
        <v>1189</v>
      </c>
    </row>
    <row r="112" customFormat="false" ht="15" hidden="false" customHeight="false" outlineLevel="0" collapsed="false">
      <c r="A112" s="5" t="s">
        <v>1190</v>
      </c>
      <c r="B112" s="5" t="s">
        <v>428</v>
      </c>
      <c r="C112" s="6" t="s">
        <v>1191</v>
      </c>
      <c r="D112" s="5" t="s">
        <v>430</v>
      </c>
      <c r="E112" s="5" t="s">
        <v>81</v>
      </c>
      <c r="F112" s="5" t="s">
        <v>1192</v>
      </c>
      <c r="G112" s="5" t="s">
        <v>1193</v>
      </c>
      <c r="H112" s="6" t="s">
        <v>1194</v>
      </c>
    </row>
    <row r="113" customFormat="false" ht="15" hidden="false" customHeight="false" outlineLevel="0" collapsed="false">
      <c r="A113" s="5" t="s">
        <v>1195</v>
      </c>
      <c r="B113" s="5" t="s">
        <v>511</v>
      </c>
      <c r="C113" s="6" t="s">
        <v>919</v>
      </c>
      <c r="D113" s="5" t="s">
        <v>430</v>
      </c>
      <c r="E113" s="5" t="s">
        <v>405</v>
      </c>
      <c r="F113" s="5" t="s">
        <v>82</v>
      </c>
      <c r="G113" s="5" t="s">
        <v>1196</v>
      </c>
      <c r="H113" s="6" t="s">
        <v>1197</v>
      </c>
    </row>
  </sheetData>
  <autoFilter ref="A1:H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2026-10-27T13:33:09Z</dcterms:created>
  <dc:creator>openpyxl</dc:creator>
  <dc:description/>
  <dc:language>en-US</dc:language>
  <cp:lastModifiedBy/>
  <dcterms:modified xsi:type="dcterms:W3CDTF">2026-10-27T13:33:09Z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