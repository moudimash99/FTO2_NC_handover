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ynthèse" sheetId="2" state="visible" r:id="rId4"/>
    <sheet name="Revue NC" sheetId="3" state="visible" r:id="rId5"/>
    <sheet name="Convention coupé court" sheetId="4" state="visible" r:id="rId6"/>
    <sheet name="Absentes du suivi" sheetId="5" state="visible" r:id="rId7"/>
    <sheet name="Causes nommées" sheetId="6" state="visible" r:id="rId8"/>
    <sheet name="Hygiène du suivi" sheetId="7" state="visible" r:id="rId9"/>
  </sheets>
  <definedNames>
    <definedName function="false" hidden="true" localSheetId="4" name="_xlnm._FilterDatabase" vbProcedure="false">'Absentes du suivi'!$A$3:$H$19</definedName>
    <definedName function="false" hidden="true" localSheetId="5" name="_xlnm._FilterDatabase" vbProcedure="false">'Causes nommées'!$A$3:$F$94</definedName>
    <definedName function="false" hidden="true" localSheetId="3" name="_xlnm._FilterDatabase" vbProcedure="false">'Convention coupé court'!$A$3:$F$101</definedName>
    <definedName function="false" hidden="true" localSheetId="6" name="_xlnm._FilterDatabase" vbProcedure="false">'Hygiène du suivi'!$A$1:$C$14</definedName>
    <definedName function="false" hidden="true" localSheetId="2" name="_xlnm._FilterDatabase" vbProcedure="false">'Revue NC'!$A$1:$O$47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<sst xmlns="http://schemas.openxmlformats.org/spreadsheetml/2006/main" count="1959" uniqueCount="711">
  <si>
    <t xml:space="preserve">Revue du suivi « NC câbles et analyses » — septembre 2026</t>
  </si>
  <si>
    <t xml:space="preserve">Base : les 475 lignes du suivi (S02–S40), relues contre le texte des NC SAP quand il est disponible (213 lignes) et contre le commentaire d’analyse du suivi (465 lignes).</t>
  </si>
  <si>
    <t xml:space="preserve">Onglets</t>
  </si>
  <si>
    <t xml:space="preserve">Revue NC — une ligne par NC à revoir : ce que dit la NC, ce que dit l’analyse, ce qu’on propose.</t>
  </si>
  <si>
    <t xml:space="preserve">Convention coupé court — les 98 lignes où le texte dit « coupé (trop) court », pour fixer une règle unique.</t>
  </si>
  <si>
    <t xml:space="preserve">Absentes du suivi — reprises de câbles trouvées dans SAP mais pas dans le suivi.</t>
  </si>
  <si>
    <t xml:space="preserve">Causes nommées — lignes où l’analyse nomme une cause au-delà de l’état du câble (cheminement, sertissage, machine…).</t>
  </si>
  <si>
    <t xml:space="preserve">Hygiène du suivi — doublons, dates, NC supprimées, colonnes vides.</t>
  </si>
  <si>
    <t xml:space="preserve">Synthèse — décompte par catégorie (se met à jour avec la Revue NC).</t>
  </si>
  <si>
    <t xml:space="preserve">À remplir</t>
  </si>
  <si>
    <t xml:space="preserve">Dans « Revue NC », seules les deux colonnes sur fond jaune sont à remplir : « Réponse équipe » (texte libre) et « Décision » (liste : Corrigé / Confirmé tel quel / À discuter).</t>
  </si>
  <si>
    <t xml:space="preserve">Niveau : « Erreur probable » = le texte contredit clairement le libellé ; « À confirmer » = contradiction, mais l’analyse a pu trancher autrement ; « Convention à fixer » = même situation, libellés différents.</t>
  </si>
  <si>
    <t xml:space="preserve">Exemple de réponse (format attendu)</t>
  </si>
  <si>
    <t xml:space="preserve">NC</t>
  </si>
  <si>
    <t xml:space="preserve">Motif (suivi)</t>
  </si>
  <si>
    <t xml:space="preserve">Proposition</t>
  </si>
  <si>
    <t xml:space="preserve">Réponse équipe</t>
  </si>
  <si>
    <t xml:space="preserve">Décision</t>
  </si>
  <si>
    <t xml:space="preserve">217544334</t>
  </si>
  <si>
    <t xml:space="preserve">Câble court</t>
  </si>
  <si>
    <t xml:space="preserve">Câble manquant</t>
  </si>
  <si>
    <t xml:space="preserve">Oui, erreur de saisie : câble jamais livré</t>
  </si>
  <si>
    <t xml:space="preserve">Corrigé</t>
  </si>
  <si>
    <t xml:space="preserve">Synthèse de la revue</t>
  </si>
  <si>
    <t xml:space="preserve">Catégorie</t>
  </si>
  <si>
    <t xml:space="preserve">Erreur probable</t>
  </si>
  <si>
    <t xml:space="preserve">À confirmer</t>
  </si>
  <si>
    <t xml:space="preserve">Convention à fixer</t>
  </si>
  <si>
    <t xml:space="preserve">Total</t>
  </si>
  <si>
    <t xml:space="preserve">Traitées</t>
  </si>
  <si>
    <t xml:space="preserve">Motif</t>
  </si>
  <si>
    <t xml:space="preserve">Hors périmètre câble</t>
  </si>
  <si>
    <t xml:space="preserve">N° de NC</t>
  </si>
  <si>
    <t xml:space="preserve">Même situation, motifs différents</t>
  </si>
  <si>
    <t xml:space="preserve">Commentaire ≠ NC</t>
  </si>
  <si>
    <t xml:space="preserve">Plusieurs défauts, un seul motif</t>
  </si>
  <si>
    <t xml:space="preserve">Plusieurs défauts, une seule imputation</t>
  </si>
  <si>
    <t xml:space="preserve">Imputation</t>
  </si>
  <si>
    <t xml:space="preserve">Comptée à tort</t>
  </si>
  <si>
    <t xml:space="preserve">Doublon</t>
  </si>
  <si>
    <t xml:space="preserve">Mesures (calculées sur le suivi et les NC SAP, septembre 2026)</t>
  </si>
  <si>
    <t xml:space="preserve">Lignes du suivi relues</t>
  </si>
  <si>
    <t xml:space="preserve">Motif cohérent avec le texte (lignes vérifiables : 437)</t>
  </si>
  <si>
    <t xml:space="preserve">92 %</t>
  </si>
  <si>
    <t xml:space="preserve">Imputation cohérente avec la provenance écrite (216 lignes où elle est écrite)</t>
  </si>
  <si>
    <t xml:space="preserve">94 %</t>
  </si>
  <si>
    <t xml:space="preserve">NC typées CABLES dans SAP (jan–juil, non supprimées) présentes dans le suivi</t>
  </si>
  <si>
    <t xml:space="preserve">172 / 173 (la manquante : plaquettes)</t>
  </si>
  <si>
    <t xml:space="preserve">Lignes « coupé (trop) court » : court / coupé / abîmé</t>
  </si>
  <si>
    <t xml:space="preserve">76 / 20 / 2</t>
  </si>
  <si>
    <t xml:space="preserve">Câbles couverts par les 475 lignes (estimation)</t>
  </si>
  <si>
    <t xml:space="preserve">≈ 813</t>
  </si>
  <si>
    <t xml:space="preserve">Source : fichier « Suivi NCs – A30 – NC câbles et analyses », extraction SAP FTO2 (807 NC jan–juil) et fichier de défauts parsés (876 NC).</t>
  </si>
  <si>
    <t xml:space="preserve">Semaine</t>
  </si>
  <si>
    <t xml:space="preserve">Programme</t>
  </si>
  <si>
    <t xml:space="preserve">MSN</t>
  </si>
  <si>
    <t xml:space="preserve">Entité</t>
  </si>
  <si>
    <t xml:space="preserve">Imputation (suivi)</t>
  </si>
  <si>
    <t xml:space="preserve">Niveau</t>
  </si>
  <si>
    <t xml:space="preserve">Ce que dit la NC</t>
  </si>
  <si>
    <t xml:space="preserve">Commentaire d'analyse (suivi)</t>
  </si>
  <si>
    <t xml:space="preserve">Remarque</t>
  </si>
  <si>
    <t xml:space="preserve">216237277</t>
  </si>
  <si>
    <t xml:space="preserve">S05</t>
  </si>
  <si>
    <t xml:space="preserve">A350</t>
  </si>
  <si>
    <t xml:space="preserve">828</t>
  </si>
  <si>
    <t xml:space="preserve">AIRBUS</t>
  </si>
  <si>
    <t xml:space="preserve">Câble non conforme</t>
  </si>
  <si>
    <t xml:space="preserve">Salle impression - opérateur</t>
  </si>
  <si>
    <t xml:space="preserve">Sur la route 2S harnais 1101VB du MIP A350 nous avons constaté des câbles ADB24 trop courts. * ADB24 Longueur 50 MSN 0828 2792-0936 2792-0935 2792-0901 2792-0902 * Demandons la mise à disposition des câbles. -- -- -- -- -- -- -- -- -- -- -- -- -- -- -- -- -- -…</t>
  </si>
  <si>
    <t xml:space="preserve">4 câble ADB24 trop court : 2792-0936 / 50 cm : 2792-0935 / 50 cm : 2792-0901 / 50cm : 2792-0902 / 50 cm</t>
  </si>
  <si>
    <t xml:space="preserve">NC aussi supprimée dans SAP</t>
  </si>
  <si>
    <t xml:space="preserve">216481631</t>
  </si>
  <si>
    <t xml:space="preserve">S08</t>
  </si>
  <si>
    <t xml:space="preserve">829</t>
  </si>
  <si>
    <t xml:space="preserve">ERMA</t>
  </si>
  <si>
    <t xml:space="preserve">Câble abimé</t>
  </si>
  <si>
    <t xml:space="preserve">Production ligne série</t>
  </si>
  <si>
    <t xml:space="preserve">—</t>
  </si>
  <si>
    <t xml:space="preserve">câble suivant coupé trop court: 4612-0353 KL24 L: 419 cm</t>
  </si>
  <si>
    <t xml:space="preserve">Le commentaire dit « coupé trop court »</t>
  </si>
  <si>
    <t xml:space="preserve">216487866</t>
  </si>
  <si>
    <t xml:space="preserve">A400M</t>
  </si>
  <si>
    <t xml:space="preserve">160</t>
  </si>
  <si>
    <t xml:space="preserve">Câble trop court</t>
  </si>
  <si>
    <t xml:space="preserve">Câble coupé trop court: 2453-0607 DR24 L: 316 cm</t>
  </si>
  <si>
    <t xml:space="preserve">216313639</t>
  </si>
  <si>
    <t xml:space="preserve">S06</t>
  </si>
  <si>
    <t xml:space="preserve">A330</t>
  </si>
  <si>
    <t xml:space="preserve">2152</t>
  </si>
  <si>
    <t xml:space="preserve">Câble coupé</t>
  </si>
  <si>
    <t xml:space="preserve">sur la ligne A330 , nous constatons que le cable 2452-0017 Longueur:300 Type : DR Jauge:24 Cause : Inversion câble trop court -- -- -- -- -- -- -- -- -- -- -- -- -- -- -- -- -- -- -- -- -- -- -- -- -- -- -- -- -- -- -- -- -- -- -- -- -- -- -- -- -- -- -- -- --…</t>
  </si>
  <si>
    <t xml:space="preserve">1 câble DR24 / 2452-0017 cable trop court suite a erreur de cheminement</t>
  </si>
  <si>
    <t xml:space="preserve">« trop court suite à erreur de cheminement » : aucun câble coupé</t>
  </si>
  <si>
    <t xml:space="preserve">216773861</t>
  </si>
  <si>
    <t xml:space="preserve">S12</t>
  </si>
  <si>
    <t xml:space="preserve">2151</t>
  </si>
  <si>
    <t xml:space="preserve">Lors du test du meuble 740VU MSN 2151 , il a été constaté un câble trop court suite à erreur de cheminement. * Câble 2823-0001 type DR 20 , longueur 220cm * Merci de refabriquer ce câble. -- -- -- -- -- -- -- -- -- -- -- -- -- -- -- -- -- -- -- -- -- -- -- -- …</t>
  </si>
  <si>
    <t xml:space="preserve">Câble 2823-0001 type DR 20, longueur 220cm mauvais cheminement opérateur</t>
  </si>
  <si>
    <t xml:space="preserve">« trop court suite à erreur de cheminement »</t>
  </si>
  <si>
    <t xml:space="preserve">218193868</t>
  </si>
  <si>
    <t xml:space="preserve">S37</t>
  </si>
  <si>
    <t xml:space="preserve">2170</t>
  </si>
  <si>
    <t xml:space="preserve">Sur la ligne A330 , MSN 2170 , poste shunt 740 VU , nous constatons que le câble suivant est trop court suite à une erreur de cheminement : * - 2425-0010 - DR24 - LONGUEUR 165 CM * Nous demandons la re fabrication du câble.</t>
  </si>
  <si>
    <t xml:space="preserve">- 2425-0010 - DR24 - LONGUEUR 165 CM trop court suite à une erreur de cheminement:</t>
  </si>
  <si>
    <t xml:space="preserve">« trop court suite à une erreur de cheminement »</t>
  </si>
  <si>
    <t xml:space="preserve">217356474</t>
  </si>
  <si>
    <t xml:space="preserve">S22</t>
  </si>
  <si>
    <t xml:space="preserve">856</t>
  </si>
  <si>
    <t xml:space="preserve">Câble endommagé. 3245-0069 AD24</t>
  </si>
  <si>
    <t xml:space="preserve">Le commentaire dit « Câble endommagé »</t>
  </si>
  <si>
    <t xml:space="preserve">217716852</t>
  </si>
  <si>
    <t xml:space="preserve">S27</t>
  </si>
  <si>
    <t xml:space="preserve">859</t>
  </si>
  <si>
    <t xml:space="preserve">2792-0348 DR18 L85cm a été endommagé.</t>
  </si>
  <si>
    <t xml:space="preserve">« a été endommagé »</t>
  </si>
  <si>
    <t xml:space="preserve">S24</t>
  </si>
  <si>
    <t xml:space="preserve">860</t>
  </si>
  <si>
    <t xml:space="preserve">Salle impression - Machine</t>
  </si>
  <si>
    <t xml:space="preserve">Câble manquant dr24 7325-0087</t>
  </si>
  <si>
    <t xml:space="preserve">Le commentaire dit « Câble manquant »</t>
  </si>
  <si>
    <t xml:space="preserve">217796503</t>
  </si>
  <si>
    <t xml:space="preserve">S28</t>
  </si>
  <si>
    <t xml:space="preserve">165</t>
  </si>
  <si>
    <t xml:space="preserve">Câble DR24 2453-0932 et 3 manchons 2826 0052, 2826 0104 et 2826 0055 suite perte de l'opérateur, un câble et 3 manchons sont manquants.</t>
  </si>
  <si>
    <t xml:space="preserve">Câble et 3 manchons perdus par l’opérateur</t>
  </si>
  <si>
    <t xml:space="preserve">217899785</t>
  </si>
  <si>
    <t xml:space="preserve">S30</t>
  </si>
  <si>
    <t xml:space="preserve">2169</t>
  </si>
  <si>
    <t xml:space="preserve">Sur la ligne A330 , MSN 2169 , 742 VU , nous constatons sur le circuit de surveillance que les câbles suivants sont manquants : * - 2453-0794 - Type : DK246 - Longueur : 85 * - 2453-0865 - Type : DK246 - Longueur : 75 * Nous demandons la fabrication des câbles…</t>
  </si>
  <si>
    <t xml:space="preserve">- 2453-0794 - Type : DK246 - Longueur : 85 - 2453-0865 - Type : DK246 - Longueur : 75</t>
  </si>
  <si>
    <t xml:space="preserve">La NC dit « les câbles suivants sont manquants » ; le commentaire ne recopie que la liste</t>
  </si>
  <si>
    <t xml:space="preserve">216958965</t>
  </si>
  <si>
    <t xml:space="preserve">S15</t>
  </si>
  <si>
    <t xml:space="preserve">839</t>
  </si>
  <si>
    <t xml:space="preserve">Définition ME</t>
  </si>
  <si>
    <t xml:space="preserve">Problème localisé au poste intégration : Les plaquettes de ref E0248A2-6H9 et de FIN 7DG2 A , 8DG2 A , 7DG1 A , 8DG1 A reçues ne sont pas conformes ( FIN centré sur plaquette ) . Merci de refabriquer ( en nombre suffisant ) ces quatre FIN de plaquettes avec le…</t>
  </si>
  <si>
    <t xml:space="preserve">Les plaquettes de ref E0248A2-6H9 et de FIN 7DG2 A, 8DG2 A, 7DG1 A, 8DG1 A reçues ne sont pas conformes(FIN centré sur plaquette).</t>
  </si>
  <si>
    <t xml:space="preserve">Plaquette (hors motifs câble)</t>
  </si>
  <si>
    <t xml:space="preserve">Produit = Plaquette mais motif « Câble non conforme »</t>
  </si>
  <si>
    <t xml:space="preserve">216931839</t>
  </si>
  <si>
    <t xml:space="preserve">S16</t>
  </si>
  <si>
    <t xml:space="preserve">837</t>
  </si>
  <si>
    <t xml:space="preserve">Sur la ligne A350 , poste Meca , nous avons constaté que les rampes V9241902200000 sont recu avec une protection alodine sur les points de métallisation au lieu de la gelée de pétrole Nous demandons la remise en conformité des rampes V9241902200000 * -- -- -- …</t>
  </si>
  <si>
    <t xml:space="preserve">câble suivant coupé trop court suite à un mauvais cheminement: 3042-0079 DR20 L: 447 cm</t>
  </si>
  <si>
    <t xml:space="preserve">Corriger le n° de NC</t>
  </si>
  <si>
    <t xml:space="preserve">Le n° pointe vers une NC rampe (alodine), supprimée dans SAP ; le commentaire décrit un câble</t>
  </si>
  <si>
    <t xml:space="preserve">217310574</t>
  </si>
  <si>
    <t xml:space="preserve">S21</t>
  </si>
  <si>
    <t xml:space="preserve">848</t>
  </si>
  <si>
    <t xml:space="preserve">Sur la ligne A350 , poste intégration , nous avons constaté que deux cables KL24 sont cheminés à la mauvaise destination. * Il s'agit de deux cables KL24 : 4612-0353 d'une longueur de 500cm 4612-1068 d'une longueur de 500cm * Nous demandons le remplacement des…</t>
  </si>
  <si>
    <t xml:space="preserve">Câble court ou autre</t>
  </si>
  <si>
    <t xml:space="preserve">NC : câbles « cheminés à la mauvaise destination » ; rien sur une coupe ; commentaire vide</t>
  </si>
  <si>
    <t xml:space="preserve">216675392</t>
  </si>
  <si>
    <t xml:space="preserve">S11</t>
  </si>
  <si>
    <t xml:space="preserve">2156</t>
  </si>
  <si>
    <t xml:space="preserve">Suite à la NC Test 216670072 pour des câbles mal cheminés , nous demandons la re fabrication des câbles suivants pour la remise en conformité du VU. * 2373-0784 → DR20 → 206 cm 2373-0786 → DR 20 → 206 cm 2373-0149 → DR 20 → 171 cm -- -- -- -- -- -- -- -- -- --…</t>
  </si>
  <si>
    <t xml:space="preserve">Câble manquant suite à mauvais cheminement 2373-0784 → DR20 → 206 cm / 2373-0786 → DR 20 → 206 cm / 2373-0149 → DR 20 → 171 cm</t>
  </si>
  <si>
    <t xml:space="preserve">NC : re-fabrication « suite à des câbles mal cheminés » ; pas de câble manquant</t>
  </si>
  <si>
    <t xml:space="preserve">217168998</t>
  </si>
  <si>
    <t xml:space="preserve">S18</t>
  </si>
  <si>
    <t xml:space="preserve">2160</t>
  </si>
  <si>
    <t xml:space="preserve">Sur la ligne A330 , nous avons recu le cable N°2434-0045 Jauge : 10 Type : DR coupé. Nous demandons un nouveau cable -- -- -- -- -- -- -- -- -- -- -- -- -- -- -- -- -- -- -- -- -- -- -- -- -- -- -- -- -- -- -- -- -- -- -- -- -- -- -- -- -- -- -- -- -- -- -- --…</t>
  </si>
  <si>
    <t xml:space="preserve">Câble DR10 2434-0045 a été reçu coupé,</t>
  </si>
  <si>
    <t xml:space="preserve">Choisir un motif unique pour « reçu coupé »</t>
  </si>
  <si>
    <t xml:space="preserve">« reçu coupé » → abîmé</t>
  </si>
  <si>
    <t xml:space="preserve">218243719</t>
  </si>
  <si>
    <t xml:space="preserve">876</t>
  </si>
  <si>
    <t xml:space="preserve">Câble 3314-0332 reçu coupé aux têtes A</t>
  </si>
  <si>
    <t xml:space="preserve">« reçu coupé aux têtes A » → abîmé</t>
  </si>
  <si>
    <t xml:space="preserve">218326030</t>
  </si>
  <si>
    <t xml:space="preserve">S38</t>
  </si>
  <si>
    <t xml:space="preserve">877</t>
  </si>
  <si>
    <t xml:space="preserve">Câble 3081-0005 reçu coupé aux têtes A</t>
  </si>
  <si>
    <t xml:space="preserve">Texte identique à 218243719 → court</t>
  </si>
  <si>
    <t xml:space="preserve">218145092</t>
  </si>
  <si>
    <t xml:space="preserve">S36</t>
  </si>
  <si>
    <t xml:space="preserve">873</t>
  </si>
  <si>
    <t xml:space="preserve">Au poste Têtes A , sur la route 2M , un câble a été livré par erreur trop court ( cause fi de bobine ) . Merci de re-fabriquer le câble suivant : 3314-0231 , AD24 , L208cm</t>
  </si>
  <si>
    <t xml:space="preserve">1 AD24 3314-0231 abîmé par rapidshare (machine)</t>
  </si>
  <si>
    <t xml:space="preserve">Câble court (Salle impression)</t>
  </si>
  <si>
    <t xml:space="preserve">NC : « livré par erreur trop court ( cause fi de bobine ) » ; commentaire : abîmé par RapidShare</t>
  </si>
  <si>
    <t xml:space="preserve">218186429</t>
  </si>
  <si>
    <t xml:space="preserve">874</t>
  </si>
  <si>
    <t xml:space="preserve">De : BACHELLERIE , CAMILLE Action : Créer Date : 2026-09-04 12:30:47 Commentaire : Câble abimé dans le faisceau 1608VC050A 2797-0120 , AD20 , L363 Merci * Câble livré abimé demandons remplacement.</t>
  </si>
  <si>
    <t xml:space="preserve">1 Câble AD20 2797-0120 fournie en mauvaise jauge</t>
  </si>
  <si>
    <t xml:space="preserve">Vérifier : jauge ou câble abîmé ?</t>
  </si>
  <si>
    <t xml:space="preserve">NC : « câble livré abîmé » ; commentaire : « fournie en mauvaise jauge » (même câble 2797-0120)</t>
  </si>
  <si>
    <t xml:space="preserve">216062695</t>
  </si>
  <si>
    <t xml:space="preserve">S02</t>
  </si>
  <si>
    <t xml:space="preserve">827</t>
  </si>
  <si>
    <t xml:space="preserve">Sur la ligne A350 poste TA , Rte 1M nous constatons 3 câbles manquants pour branchement de la 1608VC097A : * AD24 3242-0570 L563 AD24 3251-0151 L399 AD24 3251-0149 L399 * Demandons l'approvisionnement des câbles. * -- -- -- -- -- -- -- -- -- -- -- -- -- -- -- …</t>
  </si>
  <si>
    <t xml:space="preserve">câble AD24 coupé par la PROD</t>
  </si>
  <si>
    <t xml:space="preserve">Vérifier le motif</t>
  </si>
  <si>
    <t xml:space="preserve">NC : 3 câbles manquants ; commentaire : 1 AD24 coupé par la PROD</t>
  </si>
  <si>
    <t xml:space="preserve">216866658</t>
  </si>
  <si>
    <t xml:space="preserve">S14</t>
  </si>
  <si>
    <t xml:space="preserve">2154</t>
  </si>
  <si>
    <t xml:space="preserve">Sur la ligne A330 , nous constatons que les câbles sont manquants : DR 16 : 2467-0024 long 265 DR 16 : 2467-0038 long 260 DR 12 : 4961-0047 long 211 DR 10 : 2434-0044 long 75 câble trop court : DR 10 : 2434-0043 long 75 -- -- -- -- -- -- -- -- -- -- -- -- -- -…</t>
  </si>
  <si>
    <t xml:space="preserve">Manquant DR 16: 2467-0024 long 265 / DR 16 : 2467-0038 long 260 / DR 12: 4961-0047 long 211 / DR 10: 2434-0044 long 75 / câble trop court: DR 10: 2434-0043 long 75 ensemble des câbles mal cheminés Après enquete par NG: câble retrouvé mais mis dans un mauvais bac au niveau du kitting</t>
  </si>
  <si>
    <t xml:space="preserve">Scinder : 4 manquants + 1 court</t>
  </si>
  <si>
    <t xml:space="preserve">Le câble court disparaît des statistiques</t>
  </si>
  <si>
    <t xml:space="preserve">217339657</t>
  </si>
  <si>
    <t xml:space="preserve">851</t>
  </si>
  <si>
    <t xml:space="preserve">Sur la ligne A350 , poste sous-ensemble , route 2M , nous avons constaté que deux cables sont non conformes. * Il s'agit du cable AD20 / 3119-0348 d'une longueur de 220cm qui est endommagé. Et du cable DR20 / 2751-0039 d'une longueur de 150cm qui à été coupé t…</t>
  </si>
  <si>
    <t xml:space="preserve">DR20 / 2751-0039 d'une longueur de 150cm / AD20 / 3119-0348 d'une longueur de 220cm</t>
  </si>
  <si>
    <t xml:space="preserve">Scinder : 1 abîmé + 1 coupé trop court</t>
  </si>
  <si>
    <t xml:space="preserve">217989585</t>
  </si>
  <si>
    <t xml:space="preserve">S33</t>
  </si>
  <si>
    <t xml:space="preserve">869</t>
  </si>
  <si>
    <t xml:space="preserve">2792-0767 AD24 Long:680 cm (reçu coupé en 2 ); 5251-0036 MLA18 Long:652 cm ( abimé à la meo ) enquete: AD24 coupé par la scotcheuse de la rapidshare</t>
  </si>
  <si>
    <t xml:space="preserve">Scinder : 1 reçu coupé (machine) + 1 abîmé à la MEO (production)</t>
  </si>
  <si>
    <t xml:space="preserve">216045553</t>
  </si>
  <si>
    <t xml:space="preserve">818</t>
  </si>
  <si>
    <t xml:space="preserve">Motif : Lors de l'application de l'OF 1027399380 nous constatons que le câble suivant a été reçu trop court 4411-0298 WX26 L:707cm</t>
  </si>
  <si>
    <t xml:space="preserve">Salle impression, sauf si l’analyse a montré une coupe en ligne</t>
  </si>
  <si>
    <t xml:space="preserve">Le texte dit « reçu » ; imputé à la production</t>
  </si>
  <si>
    <t xml:space="preserve">216104852</t>
  </si>
  <si>
    <t xml:space="preserve">S03</t>
  </si>
  <si>
    <t xml:space="preserve">824</t>
  </si>
  <si>
    <t xml:space="preserve">câble suivant a été reçu abimé: 3242-0411 AD24 L:632 cm</t>
  </si>
  <si>
    <t xml:space="preserve">216456970</t>
  </si>
  <si>
    <t xml:space="preserve">câble suivant a été reçu trop court en TA: 3314-0323 AD24 L: 582 cm</t>
  </si>
  <si>
    <t xml:space="preserve">216564123</t>
  </si>
  <si>
    <t xml:space="preserve">S09</t>
  </si>
  <si>
    <t xml:space="preserve">835</t>
  </si>
  <si>
    <t xml:space="preserve">câble suivant a été reçu trop court: 4612-0571 VNB22 L: 265 cm</t>
  </si>
  <si>
    <t xml:space="preserve">216816792</t>
  </si>
  <si>
    <t xml:space="preserve">S13</t>
  </si>
  <si>
    <t xml:space="preserve">843</t>
  </si>
  <si>
    <t xml:space="preserve">câble suivant a été reçu trop court: 4612-1146 DR22 L: 290 cm Fichier LAS OK</t>
  </si>
  <si>
    <t xml:space="preserve">216835808</t>
  </si>
  <si>
    <t xml:space="preserve">câble suivant a été reçu trop court: 3313-0245 ADB24 L: 524 cm</t>
  </si>
  <si>
    <t xml:space="preserve">216879671</t>
  </si>
  <si>
    <t xml:space="preserve">câble suivant a été reçu trop court: 2792-0025 ADB24 Long:615 cm</t>
  </si>
  <si>
    <t xml:space="preserve">218143176</t>
  </si>
  <si>
    <t xml:space="preserve">AD24 4612-0101 / Reçu trop court</t>
  </si>
  <si>
    <t xml:space="preserve">218143463</t>
  </si>
  <si>
    <t xml:space="preserve">872</t>
  </si>
  <si>
    <t xml:space="preserve">Câble en sous-longueur. / Reçu trop court</t>
  </si>
  <si>
    <t xml:space="preserve">216251878</t>
  </si>
  <si>
    <t xml:space="preserve">5106</t>
  </si>
  <si>
    <t xml:space="preserve">Sur MDCD A350 MSN5106 nous avons receptionné des câbles trop courts. * Qté:6 * Référence : 3336-5019/MLB18/155CM 3336-5049/MLB18/155CM 3336-5050/MLB18/155CM 3336-5051/MLB18/155CM 3336-5052/MLB18/155CM 3336-5053/MLB18/155CM * Demandons le remplacement des câble…</t>
  </si>
  <si>
    <t xml:space="preserve">6 MLB18 court production,</t>
  </si>
  <si>
    <t xml:space="preserve">Trancher : NC « réceptionné trop courts » vs analyse « court production »</t>
  </si>
  <si>
    <t xml:space="preserve">216506719</t>
  </si>
  <si>
    <t xml:space="preserve">834</t>
  </si>
  <si>
    <t xml:space="preserve">De : MONTANA , VIRGINIE Action : Créer Date : 2026-02-20 12:51:32 Commentaire : Il y a 3 câbles trop courts venant de l'impression sur le MSN 834 AD22 alu 3422-0438 LONG 460 CM AD22 alu 3422-0437 LONG 460 CM DR24 cuivre 3422-0436 LONG 460 CM * demandons le rem…</t>
  </si>
  <si>
    <t xml:space="preserve">3 câbles courts production</t>
  </si>
  <si>
    <t xml:space="preserve">Trancher : NC « venant de l’impression » vs analyse « courts production »</t>
  </si>
  <si>
    <t xml:space="preserve">217398603</t>
  </si>
  <si>
    <t xml:space="preserve">1 AD24 2792-0520 trop court production*</t>
  </si>
  <si>
    <t xml:space="preserve">Le commentaire dit lui-même « trop court production »</t>
  </si>
  <si>
    <t xml:space="preserve">218244963</t>
  </si>
  <si>
    <t xml:space="preserve">2351-3375 KL24 L275cm est en sous-longueur suite à la remise en conformité du sertissage.</t>
  </si>
  <si>
    <t xml:space="preserve">Production ligne série, sauf si l’opération est faite en salle</t>
  </si>
  <si>
    <t xml:space="preserve">Cause en ligne (sertissage, cheminement, MEO) imputée à la salle ; même analyste, S37–S40</t>
  </si>
  <si>
    <t xml:space="preserve">218359357</t>
  </si>
  <si>
    <t xml:space="preserve">2724-0118 ADB24 L702cm a été endommagé lors du cheminement.</t>
  </si>
  <si>
    <t xml:space="preserve">218374736</t>
  </si>
  <si>
    <t xml:space="preserve">2351-2961 ADB24 ABIMER AU SERTISSAGE</t>
  </si>
  <si>
    <t xml:space="preserve">218403302</t>
  </si>
  <si>
    <t xml:space="preserve">S40</t>
  </si>
  <si>
    <t xml:space="preserve">2799-0008 VNA24 L549cm abîmé suite à une mauvaise mise en oeuvre de l'AUTO-SOUDEUR</t>
  </si>
  <si>
    <t xml:space="preserve">216632291</t>
  </si>
  <si>
    <t xml:space="preserve">S10</t>
  </si>
  <si>
    <t xml:space="preserve">836</t>
  </si>
  <si>
    <t xml:space="preserve">câble suivant est manquant: 4612-0219 DR24 L: 150 cm Fichier LAS OK</t>
  </si>
  <si>
    <t xml:space="preserve">Retirer des statistiques</t>
  </si>
  <si>
    <t xml:space="preserve">Action : « ANNULER TCLO CAR DOUBLON »</t>
  </si>
  <si>
    <t xml:space="preserve">216679350</t>
  </si>
  <si>
    <t xml:space="preserve">840</t>
  </si>
  <si>
    <t xml:space="preserve">Sur le poste sous ensemble 2S des câbles ont été coupés trop courts , veuillez s'il vous plait proceder a leur remplacement. * 2792-0822 : ADB 24 , 172 cm 2792-0897 : ADB 24 , 172 cm 2792-0827 : ADB 24 , 172 cm 2792-0828 : ADB 24 , 316 cm 2792-0900 : ADB 24 , …</t>
  </si>
  <si>
    <t xml:space="preserve">6 ADB24 coupé court lors de la mise en oeuvre par l'opératrice</t>
  </si>
  <si>
    <t xml:space="preserve">Action : « TCLO les câbles sont OK » ; supprimée dans SAP</t>
  </si>
  <si>
    <t xml:space="preserve">217766863</t>
  </si>
  <si>
    <t xml:space="preserve">864</t>
  </si>
  <si>
    <t xml:space="preserve">2 Cables DR24 manquants</t>
  </si>
  <si>
    <t xml:space="preserve">2 DR24 3313-0187 et 4612-0218 manquant et retrouver dans la poubelle TCLOS NC + S03</t>
  </si>
  <si>
    <t xml:space="preserve">Câbles « retrouvés dans la poubelle, TCLOS NC » ; supprimée dans SAP</t>
  </si>
  <si>
    <t xml:space="preserve">216280851</t>
  </si>
  <si>
    <t xml:space="preserve">Sur la ligne A350 , sous-ensemble route 2S du MSN 829 , nous avons constaté que le cable ADB24 / 2792-0905 d'une longueur de 590cm est abimé. Nous demandons le remplacement du cable et la remise en conformité du produit. -- -- -- -- -- -- -- -- -- -- -- -- -- …</t>
  </si>
  <si>
    <t xml:space="preserve">cable ADB24 / 2792-0905 d'une longueur de 590cm est abimé.</t>
  </si>
  <si>
    <t xml:space="preserve">Vérifier</t>
  </si>
  <si>
    <t xml:space="preserve">Supprimée dans SAP</t>
  </si>
  <si>
    <t xml:space="preserve">217542504</t>
  </si>
  <si>
    <t xml:space="preserve">855</t>
  </si>
  <si>
    <t xml:space="preserve">Sur la ligne A350 poste intégration nous avons constaté que le cable DR24 / 2797-1117 d'une longueur de 700cm a été mal cheminer et est par conséquent trop court. Nous demandons le remplacement du cable et la remise en conformité du produit -- -- -- -- -- -- -…</t>
  </si>
  <si>
    <t xml:space="preserve">DR24 / 2797-1117 d'une longueur de 700cm a été mal cheminer et par conséquent trop court.</t>
  </si>
  <si>
    <t xml:space="preserve">217517473</t>
  </si>
  <si>
    <t xml:space="preserve">2164</t>
  </si>
  <si>
    <t xml:space="preserve">Sur la ligne A330 , 740 VU , MSN 2164 , nous constatons que le câble suivant est abîmé : * - N° 2425-0087 - Type : DR 22 - Longueur : 130 CM * Nous demandons la re fabrication du câble. -- -- -- -- -- -- -- -- -- -- -- -- -- -- -- -- -- -- -- -- -- -- -- -- --…</t>
  </si>
  <si>
    <t xml:space="preserve">N° 2425-0087 - Type: DR 22 - Longueur : 130 CM</t>
  </si>
  <si>
    <t xml:space="preserve">Garder une seule ligne</t>
  </si>
  <si>
    <t xml:space="preserve">NC présente deux fois dans le suivi</t>
  </si>
  <si>
    <t xml:space="preserve">Le texte dit « coupé (trop) court » dans 98 lignes : 76 classées « Câble court », 20 « Câble coupé », 2 « Câble abîmé ». Proposition : « Câble court » pour toute longueur insuffisante, « Câble coupé » seulement pour un câble sectionné.</t>
  </si>
  <si>
    <t xml:space="preserve">Commentaire d'analyse</t>
  </si>
  <si>
    <t xml:space="preserve">216258704</t>
  </si>
  <si>
    <t xml:space="preserve">2 câbles coupé court par la production</t>
  </si>
  <si>
    <t xml:space="preserve">216472727</t>
  </si>
  <si>
    <t xml:space="preserve">Câble 3162-0047 DR22 L-398cm coupé trop court par operateur</t>
  </si>
  <si>
    <t xml:space="preserve">216598114</t>
  </si>
  <si>
    <t xml:space="preserve">Câbles AD22 4212-0810 coupé court par la production/longueur 585 cm.</t>
  </si>
  <si>
    <t xml:space="preserve">216643933</t>
  </si>
  <si>
    <t xml:space="preserve">Erreur de cheminement et câbles coupés court. Attention câbles déclarés en manquant</t>
  </si>
  <si>
    <t xml:space="preserve">216718458</t>
  </si>
  <si>
    <t xml:space="preserve">Les câbles coupés trop court par l'opérateur:DR 24-2122-0005 et 2122-0006 L:110,DR20-3042-00047 L:185,MLA18-4631-0004 L:200 etMLA22-4661-0003 L:200</t>
  </si>
  <si>
    <t xml:space="preserve">216805558</t>
  </si>
  <si>
    <t xml:space="preserve">1 ADB20 coupé court par la production</t>
  </si>
  <si>
    <t xml:space="preserve">216837425</t>
  </si>
  <si>
    <t xml:space="preserve">Les câbles coupés trop court par l'opérateur:VNA24-3163-0301,3163-0302,3163-0263,3163-0261,3163-0251,3163-0253 / VNB24-3163-0974 / MLB24 -3163-0651; 3162-0134,3162-0135,3163-0650 / DR24 -3163-0271,3163-0311 et 3163-0269</t>
  </si>
  <si>
    <t xml:space="preserve">216977496</t>
  </si>
  <si>
    <t xml:space="preserve">1 DR24 3161-0668 coupé trop court par la production</t>
  </si>
  <si>
    <t xml:space="preserve">217016584</t>
  </si>
  <si>
    <t xml:space="preserve">Câble 2453-2124 - Type : DR246 - Longueur : 60 CM coupé trop court</t>
  </si>
  <si>
    <t xml:space="preserve">217249978</t>
  </si>
  <si>
    <t xml:space="preserve">S20</t>
  </si>
  <si>
    <t xml:space="preserve">Câble AD24 9921-0203 320CM coupé trop court par la production</t>
  </si>
  <si>
    <t xml:space="preserve">217263566</t>
  </si>
  <si>
    <t xml:space="preserve">Câble DR24 2453-0741 coupé trop court par la production</t>
  </si>
  <si>
    <t xml:space="preserve">217290123</t>
  </si>
  <si>
    <t xml:space="preserve">Câble AD24 3314-0301 211CM coupé trop court par la production</t>
  </si>
  <si>
    <t xml:space="preserve">217298227</t>
  </si>
  <si>
    <t xml:space="preserve">DR24 / 3422-0436 d'une longueur de 450cm / AD22 / 3422-0437 d'une longueur de 470cm / AD22 / 3422-0438 d'une longueur de 340cm : coupés trop courts par rapport à la définition</t>
  </si>
  <si>
    <t xml:space="preserve">217454406</t>
  </si>
  <si>
    <t xml:space="preserve">S23</t>
  </si>
  <si>
    <t xml:space="preserve">3231-0332 AD22 coupé trop court.</t>
  </si>
  <si>
    <t xml:space="preserve">217490797</t>
  </si>
  <si>
    <t xml:space="preserve">Câble coupé trop court</t>
  </si>
  <si>
    <t xml:space="preserve">217601679</t>
  </si>
  <si>
    <t xml:space="preserve">S25</t>
  </si>
  <si>
    <t xml:space="preserve">1 DR18 3119-0046 coupé court après mise en oeuvre arrêt de gaine</t>
  </si>
  <si>
    <t xml:space="preserve">217785594</t>
  </si>
  <si>
    <t xml:space="preserve">Câble DR22 2434-0016 a été coupé trop court par la prod.</t>
  </si>
  <si>
    <t xml:space="preserve">217993725</t>
  </si>
  <si>
    <t xml:space="preserve">Câble AD22 /3422-0257 /L: 321 cm coupé trop court par operateur</t>
  </si>
  <si>
    <t xml:space="preserve">218150937</t>
  </si>
  <si>
    <t xml:space="preserve">1 DR20 3042-0156 coupé par opérateur</t>
  </si>
  <si>
    <t xml:space="preserve">218291821</t>
  </si>
  <si>
    <t xml:space="preserve">Coupé trop court par le rapid share 3313-0149, DR24, Long 522cm</t>
  </si>
  <si>
    <t xml:space="preserve">216100617</t>
  </si>
  <si>
    <t xml:space="preserve">Câble 2351-3094 DR20 L133cm coupés court</t>
  </si>
  <si>
    <t xml:space="preserve">216095878</t>
  </si>
  <si>
    <t xml:space="preserve">le câble suivant a été coupé trop court: 3161-0219 DR24 Long:143cm</t>
  </si>
  <si>
    <t xml:space="preserve">216127198</t>
  </si>
  <si>
    <t xml:space="preserve">câbles suivants coupés trop court : 3161-0629 DR24 L242cm, 3161-0641 DR24 L242cm, 3161-0642DR24L242cm, 3161-0643 DR24 L242cm, 3161-0644 DR24 L242cm, 3161-0632 DR24 L172cm, 2285-0103 DR24 L85cm, 2285-0104 DR24 L85cm, 3231-0335 DR18 L167cm</t>
  </si>
  <si>
    <t xml:space="preserve">216216135</t>
  </si>
  <si>
    <t xml:space="preserve">S04</t>
  </si>
  <si>
    <t xml:space="preserve">les câbles suivant ont été coupés trop courts: 2792-0767 AD24 Long: 232cm, 2792-0768 AD24 Long: 100cm, 2792-0385 AD24 Long: 266cm</t>
  </si>
  <si>
    <t xml:space="preserve">216216573</t>
  </si>
  <si>
    <t xml:space="preserve">câble DR24 2792-0994 160cm à été coupé trop court</t>
  </si>
  <si>
    <t xml:space="preserve">216219712</t>
  </si>
  <si>
    <t xml:space="preserve">1 câble coupé court par la PROD</t>
  </si>
  <si>
    <t xml:space="preserve">216215650</t>
  </si>
  <si>
    <t xml:space="preserve">1 câble court mise en oeuvre opérateur</t>
  </si>
  <si>
    <t xml:space="preserve">216287355</t>
  </si>
  <si>
    <t xml:space="preserve">Câble coupé court production</t>
  </si>
  <si>
    <t xml:space="preserve">216293872</t>
  </si>
  <si>
    <t xml:space="preserve">le câble suivant a été coupé trop court 3313-0224 AD24 L: 206cm</t>
  </si>
  <si>
    <t xml:space="preserve">216318106</t>
  </si>
  <si>
    <t xml:space="preserve">câbles ont été coupés trop court: MLB 24 2351-3491 LONGUEUR 154, MLB 24 2351-3492 LONGUEUR 154, MLB 24 2351-3493 LONGUEUR 154, MLB 24 2351-3494 LONGUEUR 154, MLB 20 2351-3359 LONGUEUR 154</t>
  </si>
  <si>
    <t xml:space="preserve">216347365</t>
  </si>
  <si>
    <t xml:space="preserve">9 câblé coupé court à la production 3313-0194</t>
  </si>
  <si>
    <t xml:space="preserve">216358004</t>
  </si>
  <si>
    <t xml:space="preserve">1 câble coupé court par la production</t>
  </si>
  <si>
    <t xml:space="preserve">216380744</t>
  </si>
  <si>
    <t xml:space="preserve">S07</t>
  </si>
  <si>
    <t xml:space="preserve">2 câble coupé court par opérateur</t>
  </si>
  <si>
    <t xml:space="preserve">216491021</t>
  </si>
  <si>
    <t xml:space="preserve">4 câbles DR20 coupé trop court par l'operateur : 3513-0168,3513-0170,3513-0205 et 3513-0206</t>
  </si>
  <si>
    <t xml:space="preserve">216491380</t>
  </si>
  <si>
    <t xml:space="preserve">1 câble coupé court par opérateur</t>
  </si>
  <si>
    <t xml:space="preserve">216545240</t>
  </si>
  <si>
    <t xml:space="preserve">câble suivant coupé trop court: 3161-0640 DR24 L: 133 cm</t>
  </si>
  <si>
    <t xml:space="preserve">216558755</t>
  </si>
  <si>
    <t xml:space="preserve">2 câbles DR18 coupés trop courts</t>
  </si>
  <si>
    <t xml:space="preserve">216590896</t>
  </si>
  <si>
    <t xml:space="preserve">câble 3242-0511 DR18 L200cm a été coupé trop court</t>
  </si>
  <si>
    <t xml:space="preserve">216589393</t>
  </si>
  <si>
    <t xml:space="preserve">Câble 3243-0034 VNB24 L668 a été coupé trop court</t>
  </si>
  <si>
    <t xml:space="preserve">216606157</t>
  </si>
  <si>
    <t xml:space="preserve">câbles suivants ont été coupés trop courts: 3513-0018 DR18 L: 325 cm, 2511-0003 DR18 L: 246 cm</t>
  </si>
  <si>
    <t xml:space="preserve">216609833</t>
  </si>
  <si>
    <t xml:space="preserve">câbles suivants coupés trop courts: 3233-0162 AD20 L: 250 cm / 3233-0163 AD20 L: 250 cm / 3233-0165 AD20 L: 250 cm</t>
  </si>
  <si>
    <t xml:space="preserve">216656797</t>
  </si>
  <si>
    <t xml:space="preserve">câbles suivants coupés trop courts: 3314-0274 AD24 L: 469 cm / 4612-0098 AD24 L: 482 cm</t>
  </si>
  <si>
    <t xml:space="preserve">216704867</t>
  </si>
  <si>
    <t xml:space="preserve">2 KL 2351-3418/2351-3375 coupé court (mise en oeuvre)</t>
  </si>
  <si>
    <t xml:space="preserve">216799298</t>
  </si>
  <si>
    <t xml:space="preserve">Câble 2453-0604 - Type: DR246 (bleu) - Longueur : 80CM coupé trop court opérateur</t>
  </si>
  <si>
    <t xml:space="preserve">216805983</t>
  </si>
  <si>
    <t xml:space="preserve">10 câbles coupé court cause mauvais cheminement opérateur sur table</t>
  </si>
  <si>
    <t xml:space="preserve">216826753</t>
  </si>
  <si>
    <t xml:space="preserve">4 câbles coupé au mauvais trait de coupe sur table</t>
  </si>
  <si>
    <t xml:space="preserve">216835454</t>
  </si>
  <si>
    <t xml:space="preserve">câble suivant coupé trop court suite à une erreur de cheminement: 4612-1145 DR22 L : 114 cm</t>
  </si>
  <si>
    <t xml:space="preserve">216879498</t>
  </si>
  <si>
    <t xml:space="preserve">câble suivant coupé trop court: 3161–0026 DR20 L: 390 cm</t>
  </si>
  <si>
    <t xml:space="preserve">216884203</t>
  </si>
  <si>
    <t xml:space="preserve">câble suivant coupé trop court: 3161-0668 DR24 L: 238 cm</t>
  </si>
  <si>
    <t xml:space="preserve">216904089</t>
  </si>
  <si>
    <t xml:space="preserve">câbles suivant coupés trop court : 3119-0172 WX26 L326cm, 3119-0167 WX26 L181cm</t>
  </si>
  <si>
    <t xml:space="preserve">216944961</t>
  </si>
  <si>
    <t xml:space="preserve">câble suivant coupé trop court: 3161-0105 MLB24 L: 227 cm</t>
  </si>
  <si>
    <t xml:space="preserve">216989394</t>
  </si>
  <si>
    <t xml:space="preserve">3 coupés trop courts dont 1 DR24 suite à un mauvais cheminement . 3161-0640 / 2351-3052 / 3231-0334</t>
  </si>
  <si>
    <t xml:space="preserve">216990099</t>
  </si>
  <si>
    <t xml:space="preserve">1 VNA24 2799-0007 coupé court par la production</t>
  </si>
  <si>
    <t xml:space="preserve">216989624</t>
  </si>
  <si>
    <t xml:space="preserve">Câble 4612-0353 KL24 coupé trop court</t>
  </si>
  <si>
    <t xml:space="preserve">217032194</t>
  </si>
  <si>
    <t xml:space="preserve">22 câbles coupés trop courts par operateur-DR24 et non AD24,</t>
  </si>
  <si>
    <t xml:space="preserve">217066034</t>
  </si>
  <si>
    <t xml:space="preserve">S17</t>
  </si>
  <si>
    <t xml:space="preserve">9 câbles coupés trop courts par operateur</t>
  </si>
  <si>
    <t xml:space="preserve">217069086</t>
  </si>
  <si>
    <t xml:space="preserve">1 VNB24 2799-0055 coupé trop court par la production</t>
  </si>
  <si>
    <t xml:space="preserve">217085364</t>
  </si>
  <si>
    <t xml:space="preserve">1 AD22 3422-0251 coupé court par la production</t>
  </si>
  <si>
    <t xml:space="preserve">217116734</t>
  </si>
  <si>
    <t xml:space="preserve">1 DR16 3161-0029 trop court mise en oeuvre opérateur</t>
  </si>
  <si>
    <t xml:space="preserve">217123505</t>
  </si>
  <si>
    <t xml:space="preserve">DR16 / 3161-0029,DR18 / 3161-0025 et DR18 / 3161-0024 coupé trop court par la production</t>
  </si>
  <si>
    <t xml:space="preserve">217133901</t>
  </si>
  <si>
    <t xml:space="preserve">1 DR24 3161-0665 coupé trop court par la production</t>
  </si>
  <si>
    <t xml:space="preserve">217154111</t>
  </si>
  <si>
    <t xml:space="preserve">MLB20 coupé trop court par la production</t>
  </si>
  <si>
    <t xml:space="preserve">217169141</t>
  </si>
  <si>
    <t xml:space="preserve">Câble DR16 4382-0212 a été coupé trop court par la production</t>
  </si>
  <si>
    <t xml:space="preserve">217176147</t>
  </si>
  <si>
    <t xml:space="preserve">3 Cables DR24 coupés courts</t>
  </si>
  <si>
    <t xml:space="preserve">217182206</t>
  </si>
  <si>
    <t xml:space="preserve">1 KL24 4612-0373 coupé trop court par la production</t>
  </si>
  <si>
    <t xml:space="preserve">217196903</t>
  </si>
  <si>
    <t xml:space="preserve">S19</t>
  </si>
  <si>
    <t xml:space="preserve">Err de chem AD22 3162-0012 coupé court</t>
  </si>
  <si>
    <t xml:space="preserve">217242552</t>
  </si>
  <si>
    <t xml:space="preserve">Câble 3161–0012 coupé trop court</t>
  </si>
  <si>
    <t xml:space="preserve">217264272</t>
  </si>
  <si>
    <t xml:space="preserve">5x AD24 (n°: 2792-0705, 2792-0706, 2792-0741, 2792-1033, 2792-1034) coupé trop court</t>
  </si>
  <si>
    <t xml:space="preserve">217298092</t>
  </si>
  <si>
    <t xml:space="preserve">DR20 : 3042-0155 L:340cm/ 3042-0156 L:135cm</t>
  </si>
  <si>
    <t xml:space="preserve">217342648</t>
  </si>
  <si>
    <t xml:space="preserve">Cable DR24 coupé court</t>
  </si>
  <si>
    <t xml:space="preserve">217365338</t>
  </si>
  <si>
    <t xml:space="preserve">Câble coupé trop court sur la 20TC2A Câble N°4612-0350 KL24</t>
  </si>
  <si>
    <t xml:space="preserve">217368214</t>
  </si>
  <si>
    <t xml:space="preserve">l'opérateur a coupé un cÄble trop court. DR 24 Numéro: 2797-0602</t>
  </si>
  <si>
    <t xml:space="preserve">217405174</t>
  </si>
  <si>
    <t xml:space="preserve">Câble 3422-0263 AD22 a été coupé trop court.</t>
  </si>
  <si>
    <t xml:space="preserve">217511494</t>
  </si>
  <si>
    <t xml:space="preserve">5 câbles coupés court par la production,</t>
  </si>
  <si>
    <t xml:space="preserve">217625409</t>
  </si>
  <si>
    <t xml:space="preserve">S26</t>
  </si>
  <si>
    <t xml:space="preserve">2 DR20 ont été coupés trop courts lors de la mise à longueur sur planche.</t>
  </si>
  <si>
    <t xml:space="preserve">217636544</t>
  </si>
  <si>
    <t xml:space="preserve">2 AD24 2824-0136 et 2621-0072 coupé trop court par la production</t>
  </si>
  <si>
    <t xml:space="preserve">217804922</t>
  </si>
  <si>
    <t xml:space="preserve">2 ADB24 coupé trop court</t>
  </si>
  <si>
    <t xml:space="preserve">217809412</t>
  </si>
  <si>
    <t xml:space="preserve">DR24 a été coupé trop court par l'opérateur</t>
  </si>
  <si>
    <t xml:space="preserve">217982664</t>
  </si>
  <si>
    <t xml:space="preserve">Court AD 24 numero : 3251- 0078 pour une longueur de 620cm (enquete: la rapidshare coupe de temps en temps un morceau de cable lors de la phase de scotchage)</t>
  </si>
  <si>
    <t xml:space="preserve">217992504</t>
  </si>
  <si>
    <t xml:space="preserve">Câble 3422-0257 AD22 L: 321 cm coupé trop court par operateur</t>
  </si>
  <si>
    <t xml:space="preserve">218015822</t>
  </si>
  <si>
    <t xml:space="preserve">S34</t>
  </si>
  <si>
    <t xml:space="preserve">4621-0078, DR 24, taille : 160cm 3152-0412, DR 24, taille : 160cm 3152-0348, DR 24, taille : 160cm 3152-0298, DR 24, taille : 160cm</t>
  </si>
  <si>
    <t xml:space="preserve">218020323</t>
  </si>
  <si>
    <t xml:space="preserve">2 câbles AD24 coupé court 3311-0331 / 3314-0332 opérateur</t>
  </si>
  <si>
    <t xml:space="preserve">218026194</t>
  </si>
  <si>
    <t xml:space="preserve">câble suivant a été reçu trop court : 3042-0138 ADB22 L: 411 cm Enquête : câble coupé trop court par opérateur du Kitting</t>
  </si>
  <si>
    <t xml:space="preserve">218047674</t>
  </si>
  <si>
    <t xml:space="preserve">2 câble coupé court par la PROD</t>
  </si>
  <si>
    <t xml:space="preserve">218056077</t>
  </si>
  <si>
    <t xml:space="preserve">Câble trop court : 2551-3348</t>
  </si>
  <si>
    <t xml:space="preserve">218148347</t>
  </si>
  <si>
    <t xml:space="preserve">4 AD24 coupé trop court par la production série</t>
  </si>
  <si>
    <t xml:space="preserve">218177756</t>
  </si>
  <si>
    <t xml:space="preserve">1 ADB24 2792-0811 coupé trop court par opérateur impression</t>
  </si>
  <si>
    <t xml:space="preserve">218230122</t>
  </si>
  <si>
    <t xml:space="preserve">Câble AD24 mal cheminé ET coupé court</t>
  </si>
  <si>
    <t xml:space="preserve">218256502</t>
  </si>
  <si>
    <t xml:space="preserve">1 KL24 3161-0316 coupé trop court par la production</t>
  </si>
  <si>
    <t xml:space="preserve">218288865</t>
  </si>
  <si>
    <t xml:space="preserve">1 WX26 3161-0359 coupé trop court par la production</t>
  </si>
  <si>
    <t xml:space="preserve">218310726</t>
  </si>
  <si>
    <t xml:space="preserve">3 câbles AD24 coupé court</t>
  </si>
  <si>
    <t xml:space="preserve">218315000</t>
  </si>
  <si>
    <t xml:space="preserve">1 DR20 3042-0155 coupé court par opérateur</t>
  </si>
  <si>
    <t xml:space="preserve">218353119</t>
  </si>
  <si>
    <t xml:space="preserve">câble suivant coupé trop court: 2781-0012 MMG24 L: 266 cm</t>
  </si>
  <si>
    <t xml:space="preserve">Reprises de câbles présentes dans SAP (périmètre FTO2) mais absentes du suivi. Les « listes de retouches test » regroupent plusieurs défauts dans une seule NC ; seule la ligne câble est citée.</t>
  </si>
  <si>
    <t xml:space="preserve">Type</t>
  </si>
  <si>
    <t xml:space="preserve">Date</t>
  </si>
  <si>
    <t xml:space="preserve">Titre SAP</t>
  </si>
  <si>
    <t xml:space="preserve">Statut SAP</t>
  </si>
  <si>
    <t xml:space="preserve">Défaut(s) câble dans la NC</t>
  </si>
  <si>
    <t xml:space="preserve">Nb lignes câble</t>
  </si>
  <si>
    <t xml:space="preserve">217447449</t>
  </si>
  <si>
    <t xml:space="preserve">NC câble isolée</t>
  </si>
  <si>
    <t xml:space="preserve">2026-06-03</t>
  </si>
  <si>
    <t xml:space="preserve">CABLE COURT SUITE ERREUR SERTISSAGE</t>
  </si>
  <si>
    <t xml:space="preserve">closed</t>
  </si>
  <si>
    <t xml:space="preserve">* Sur la ligne A330 , MSN 2161 , 538VU , nous constatons suite à une erreur de sertissage que le câble 4631-1221 est trop court. * Nous demandons la re fabrication du câb</t>
  </si>
  <si>
    <t xml:space="preserve">218012174</t>
  </si>
  <si>
    <t xml:space="preserve">(après le 6 juillet)</t>
  </si>
  <si>
    <t xml:space="preserve">(inconnu)</t>
  </si>
  <si>
    <t xml:space="preserve">* Au poste intégration , route 2S , nous avons constaté que deux câbles ont été coupés trop courts. ( MEO longueur auto-soudeurs ) Merci de re-fabriquer les deux câbles s</t>
  </si>
  <si>
    <t xml:space="preserve">217406743</t>
  </si>
  <si>
    <t xml:space="preserve">NC plaquettes (à décider)</t>
  </si>
  <si>
    <t xml:space="preserve">2026-05-29</t>
  </si>
  <si>
    <t xml:space="preserve">Plaquettes 100VN220 à réimprimer</t>
  </si>
  <si>
    <t xml:space="preserve">* Au poste sous-ensemble route 2S B , les plaquettes CDVE livrées 100VN220 ne sont pas conformes ( il manque `` BC2 ) . Merci de re-fabriquer des plaquettes CDVE au forma</t>
  </si>
  <si>
    <t xml:space="preserve">216074163</t>
  </si>
  <si>
    <t xml:space="preserve">Liste de retouches test</t>
  </si>
  <si>
    <t xml:space="preserve">2026-01-08</t>
  </si>
  <si>
    <t xml:space="preserve">2148</t>
  </si>
  <si>
    <t xml:space="preserve">Câble BF24 N° : 2351-0459 manquant entre 19RN 1 ET 18RN 2. | Câble BF24 N° : 2351-0458 manquant entre 19RN 2 ET 18RN 1. Merci de remettre le VU en conformité.</t>
  </si>
  <si>
    <t xml:space="preserve">216111281</t>
  </si>
  <si>
    <t xml:space="preserve">2026-01-13</t>
  </si>
  <si>
    <t xml:space="preserve">Retouche Test 612VU MSN 02148</t>
  </si>
  <si>
    <t xml:space="preserve">Câble BF 24 N° : 2351-0303 manquant entre 15RN 1 et 16RN 2. | Câble BF 24 N° : 2351-0302 manquant entre 15RN 2 et 16RN 1. Merci de remettre le VU en conformité.</t>
  </si>
  <si>
    <t xml:space="preserve">216195310</t>
  </si>
  <si>
    <t xml:space="preserve">2026-01-21</t>
  </si>
  <si>
    <t xml:space="preserve">Retouche Test 313VU MSN 02145.</t>
  </si>
  <si>
    <t xml:space="preserve">4 Câbles manquants en 261VT 1 : - Câble BF24 N°:3163-0918 manquant entre 261VT 1 A et 54FP1 A B1. - Câble BF24 N°:3163-0919 manquant entre 261VT 1 B et 54FP1 A A1. - Câbl</t>
  </si>
  <si>
    <t xml:space="preserve">216195654</t>
  </si>
  <si>
    <t xml:space="preserve">Retouche Test 31'VU MSN 02145.</t>
  </si>
  <si>
    <t xml:space="preserve">3 Câbles manquants en 260VT 1 : - Câble BF 24 N° : 3163-0924 Manquant entre 260VT 1 A et 54FP2 A B1. - Câble BF 24 N° : 3163-0925 Manquant entre 260VT 1 B et 54FP2 A A1.  | Shunt BF24 N° : 3448-0056 Manquant sur 4WZ2 A entre les bornes 5 et 9. | Shunt BF24 N° : 3163-0923 Manquant sur 54FP2 A entre les bornes A3 et 4. Merci de remettre le VU en conformité.</t>
  </si>
  <si>
    <t xml:space="preserve">217055268</t>
  </si>
  <si>
    <t xml:space="preserve">2026-04-17</t>
  </si>
  <si>
    <t xml:space="preserve">Retouche Test 616VU MSN 02157.</t>
  </si>
  <si>
    <t xml:space="preserve">Câble BF24 N° : 2351-0458 Manquant entre 18RN 1 et 19RN 2. | Câble BF24 N° : 2351-0459 Manquant entre 18RN 2 et 19RN 1. Câbles Non imprimés. Merci de remettre le VU en conformité.</t>
  </si>
  <si>
    <t xml:space="preserve">216321686</t>
  </si>
  <si>
    <t xml:space="preserve">2026-02-03</t>
  </si>
  <si>
    <t xml:space="preserve">QUADRAX ABIME</t>
  </si>
  <si>
    <t xml:space="preserve">CABLE QUADRAX DU FIN 1WK11A BORNE HH AU FIN 1608VC095A ENDOMMAGE A COMMANDER ( URGENT ) .</t>
  </si>
  <si>
    <t xml:space="preserve">216579161</t>
  </si>
  <si>
    <t xml:space="preserve">2026-02-27</t>
  </si>
  <si>
    <t xml:space="preserve">RETOUCHE TEST MSN 846 CABLE ABIME</t>
  </si>
  <si>
    <t xml:space="preserve">10FC2A CABLE 3422-0293 ABIME A CHANGER.</t>
  </si>
  <si>
    <t xml:space="preserve">217054293</t>
  </si>
  <si>
    <t xml:space="preserve">CABLE ENDOMMAGE MSN0839.</t>
  </si>
  <si>
    <t xml:space="preserve">500VT202 MODULE 2 BORNE X CABLE ENDOMMAGE.</t>
  </si>
  <si>
    <t xml:space="preserve">217123040</t>
  </si>
  <si>
    <t xml:space="preserve">2026-04-24</t>
  </si>
  <si>
    <t xml:space="preserve">CABLE ENDOMMAGE MSN0843.</t>
  </si>
  <si>
    <t xml:space="preserve">CABLE ENDOMMAGE 300VT101 7U AU NIVEAU DE LA FERRULE.</t>
  </si>
  <si>
    <t xml:space="preserve">217371996</t>
  </si>
  <si>
    <t xml:space="preserve">2026-05-26</t>
  </si>
  <si>
    <t xml:space="preserve">CABLE COUPE</t>
  </si>
  <si>
    <t xml:space="preserve">CABLE COUPE ENTRE 1608VC062A BORNE 19 ET 100VT400 5D.</t>
  </si>
  <si>
    <t xml:space="preserve">217811190</t>
  </si>
  <si>
    <t xml:space="preserve">2WTA BORNE A , CABLE ENDOMMAGE AU NIVEU DE LA FERRULE.</t>
  </si>
  <si>
    <t xml:space="preserve">218056821</t>
  </si>
  <si>
    <t xml:space="preserve">CABLE ENDOMMAGE ENTRE 1WK53A BORNE 6A ET 300VT200 1T.CABLE N°3161-0860.</t>
  </si>
  <si>
    <t xml:space="preserve">218159740</t>
  </si>
  <si>
    <t xml:space="preserve">Shunt AD24 N° : 2351-3421 manquant entre 3RN1 A borne N et 3RN1 A borne FF.</t>
  </si>
  <si>
    <t xml:space="preserve">Lignes où le commentaire d’analyse (ou la NC) nomme une cause au-delà de l’état du câble. Le motif actuel n’enregistre que l’état (court, abîmé…), donc ces causes ne sont pas comptables aujourd’hui.</t>
  </si>
  <si>
    <t xml:space="preserve">Cause nommée</t>
  </si>
  <si>
    <t xml:space="preserve">Coupe sur table (trait de coupe)</t>
  </si>
  <si>
    <t xml:space="preserve">217501773</t>
  </si>
  <si>
    <t xml:space="preserve">- 2452-0063 Type DR10 Longueur 50 CM - 2452-0064 Type DR10 Longueur 50 CM SUITE ERREUR DE COUPE</t>
  </si>
  <si>
    <t xml:space="preserve">217838827 (vide dans le suivi)</t>
  </si>
  <si>
    <t xml:space="preserve">Lors du sertissage des têtes B du harnais 4715VB MSN 13697, PB10093, la coupe des câbles à été réalisée trop courte (erreur entre trait de coupe et longueur théorique)</t>
  </si>
  <si>
    <t xml:space="preserve">Câble perdu / jeté en ligne</t>
  </si>
  <si>
    <t xml:space="preserve">217103724</t>
  </si>
  <si>
    <t xml:space="preserve">1 câble reprise manquant DR24 3313-0187 (perdu par la prod)</t>
  </si>
  <si>
    <t xml:space="preserve">217108805</t>
  </si>
  <si>
    <t xml:space="preserve">9 câbles AD24/AD22 Manquant car les opérateurs les ont jettés à la poubelle</t>
  </si>
  <si>
    <t xml:space="preserve">217174106</t>
  </si>
  <si>
    <t xml:space="preserve">1 câble reprise DR24 3313-0185 perdu par la production</t>
  </si>
  <si>
    <t xml:space="preserve">217283624</t>
  </si>
  <si>
    <t xml:space="preserve">1 câble DR24 3313-0187 jeté à la poubelle</t>
  </si>
  <si>
    <t xml:space="preserve">217376442</t>
  </si>
  <si>
    <t xml:space="preserve">2 DR24 3161-0671/3161-0670 perdu par la porduction</t>
  </si>
  <si>
    <t xml:space="preserve">218161820</t>
  </si>
  <si>
    <t xml:space="preserve">1 DR18 Manquant perdu</t>
  </si>
  <si>
    <t xml:space="preserve">218256506</t>
  </si>
  <si>
    <t xml:space="preserve">1 câble AD22 3313-0089 manquant au tête A (perdu impression)</t>
  </si>
  <si>
    <t xml:space="preserve">218391202</t>
  </si>
  <si>
    <t xml:space="preserve">S39</t>
  </si>
  <si>
    <t xml:space="preserve">1 câble manquant au tête A perdu AD24 3251-0094</t>
  </si>
  <si>
    <t xml:space="preserve">Erreur de cheminement</t>
  </si>
  <si>
    <t xml:space="preserve">216117298</t>
  </si>
  <si>
    <t xml:space="preserve">Câble 3161-0076 DR 24 L165cm trop court suite à un mauvais cheminement.</t>
  </si>
  <si>
    <t xml:space="preserve">216252882</t>
  </si>
  <si>
    <t xml:space="preserve">Suite à un mauvais cheminement le câble DR20 2824-0069 Longueur 270cm est trop court.</t>
  </si>
  <si>
    <t xml:space="preserve">216431730</t>
  </si>
  <si>
    <t xml:space="preserve">câbles suivants ont été mal cheminés: 2792-0974 ADB24 L: 601 cm, 2792-0881 ADB24 L: 601 cm</t>
  </si>
  <si>
    <t xml:space="preserve">216507151</t>
  </si>
  <si>
    <t xml:space="preserve">2452-0040 DK24 L: 75cm / 2462-0040 DK24 L: 134cm CIRCE et Fichier Las OK, câble trop court suite à un mauvais cheminement</t>
  </si>
  <si>
    <t xml:space="preserve">216749346</t>
  </si>
  <si>
    <t xml:space="preserve">Câble mal cheminé 2621-0416 - Type: DR 20 - Longueur : 270 CM</t>
  </si>
  <si>
    <t xml:space="preserve">216872831</t>
  </si>
  <si>
    <t xml:space="preserve">1 câble 2452-0065 Type : QG14 Longueur: 350cm mal cheminé</t>
  </si>
  <si>
    <t xml:space="preserve">217052999</t>
  </si>
  <si>
    <t xml:space="preserve">AD22 2351-3074 trop court suite à mauvais cheminement opérateur</t>
  </si>
  <si>
    <t xml:space="preserve">217093980</t>
  </si>
  <si>
    <t xml:space="preserve">DR18 2792-0317 trop court suite à mauvais cheminement opérateur</t>
  </si>
  <si>
    <t xml:space="preserve">217300652</t>
  </si>
  <si>
    <t xml:space="preserve">DK24 longueur 200 2424-0053 est trop court. Circe et Elec ABC OK Du à mauvais cheminement</t>
  </si>
  <si>
    <t xml:space="preserve">217317069</t>
  </si>
  <si>
    <t xml:space="preserve">217420085</t>
  </si>
  <si>
    <t xml:space="preserve">N° Câble : 3154-0628- Type: DK24 - Longueur: 160CM</t>
  </si>
  <si>
    <t xml:space="preserve">217434411</t>
  </si>
  <si>
    <t xml:space="preserve">CABLE ADB24 BIFILAIRE TROP COURT 2792-0076</t>
  </si>
  <si>
    <t xml:space="preserve">217445085</t>
  </si>
  <si>
    <t xml:space="preserve">1 MLB24 2285-0001 mauvais cheminement opérateur</t>
  </si>
  <si>
    <t xml:space="preserve">217474320</t>
  </si>
  <si>
    <t xml:space="preserve">câble 2453-2203B DK 246 est trop court.</t>
  </si>
  <si>
    <t xml:space="preserve">217542655</t>
  </si>
  <si>
    <t xml:space="preserve">Câble 2797-0600 a été mal cheminé</t>
  </si>
  <si>
    <t xml:space="preserve">217584201</t>
  </si>
  <si>
    <t xml:space="preserve">217789224</t>
  </si>
  <si>
    <t xml:space="preserve">1 ADB24 2792-0540 trop court mauvais cheminement opérateur</t>
  </si>
  <si>
    <t xml:space="preserve">218044166</t>
  </si>
  <si>
    <t xml:space="preserve">Le câble a été endommagé lors du cheminement. 3245-0069 AD24 L675cm</t>
  </si>
  <si>
    <t xml:space="preserve">218193059</t>
  </si>
  <si>
    <t xml:space="preserve">1 AD24 2797-0651 Abîmé</t>
  </si>
  <si>
    <t xml:space="preserve">218208025</t>
  </si>
  <si>
    <t xml:space="preserve">Mauvais cheminement câble court opérateur pord</t>
  </si>
  <si>
    <t xml:space="preserve">Machine RapidShare (coupe au scotchage, fin de bobine)</t>
  </si>
  <si>
    <t xml:space="preserve">217941639</t>
  </si>
  <si>
    <t xml:space="preserve">2792-0538 AD24 - Court (ANALYSE ST : La machine coupe les câbles suite a une agmentation d'isolant)</t>
  </si>
  <si>
    <t xml:space="preserve">217942079</t>
  </si>
  <si>
    <t xml:space="preserve">Court (ANALYSE ST : La machine coupe les câbles suite a une agmentation d'isolant) 3 AD24</t>
  </si>
  <si>
    <t xml:space="preserve">218192626</t>
  </si>
  <si>
    <t xml:space="preserve">2 AD24 abîmé par rapidshare (machine)</t>
  </si>
  <si>
    <t xml:space="preserve">218364356</t>
  </si>
  <si>
    <t xml:space="preserve">1 AD24 3314-0177 coupé rapid share</t>
  </si>
  <si>
    <t xml:space="preserve">Nouveau process « cerise »</t>
  </si>
  <si>
    <t xml:space="preserve">217304294</t>
  </si>
  <si>
    <t xml:space="preserve">KL24 / 4612–0353 d'une longueur de 440cm. NC recurrente car nouveau process de cerise. MFT à faire avec les methodes pour supprimer ce type de NC</t>
  </si>
  <si>
    <t xml:space="preserve">218172558</t>
  </si>
  <si>
    <t xml:space="preserve">Définition Elec</t>
  </si>
  <si>
    <t xml:space="preserve">Les câbles WX26 sont trop court à la def (130cm) afin de pouvoir réaliser les 2 cerises. modif de def à demander au BE</t>
  </si>
  <si>
    <t xml:space="preserve">218279339</t>
  </si>
  <si>
    <t xml:space="preserve">Sertissage / mise en œuvre</t>
  </si>
  <si>
    <t xml:space="preserve">216114253</t>
  </si>
  <si>
    <t xml:space="preserve">le câble 3161-0619 WX26 L135cm et le câble 3161-0251 WX26 L299cm abîmés suite à une mauvaise mise en oeuvre d'un buscan.</t>
  </si>
  <si>
    <t xml:space="preserve">216280652</t>
  </si>
  <si>
    <t xml:space="preserve">cable VNC24 / 2351-3394 d'une longueur de 250cm est court car erreur mise en oeuvre opérateur</t>
  </si>
  <si>
    <t xml:space="preserve">216294895</t>
  </si>
  <si>
    <t xml:space="preserve">Remplacement de tous les câbles du harnais 5883VB car mauvaise mise en oeuvre</t>
  </si>
  <si>
    <t xml:space="preserve">216311784</t>
  </si>
  <si>
    <t xml:space="preserve">216320414</t>
  </si>
  <si>
    <t xml:space="preserve">1 VNA24 et 1DR24 court mauvaise mise en oeuvre production</t>
  </si>
  <si>
    <t xml:space="preserve">216475162</t>
  </si>
  <si>
    <t xml:space="preserve">Mauvaise MEO du câble sur la route 7M3.Type du câble : VNB24 / 3425-0046 / L-118cm</t>
  </si>
  <si>
    <t xml:space="preserve">216487754</t>
  </si>
  <si>
    <t xml:space="preserve">Mauvaise MEO du câble sur la route 7M3.Type du câble : VNB24 / 3411-0412 / L-283cm</t>
  </si>
  <si>
    <t xml:space="preserve">216520651</t>
  </si>
  <si>
    <t xml:space="preserve">1 câble abîmer par le prod mauvaise mise en oeuvre</t>
  </si>
  <si>
    <t xml:space="preserve">216525198</t>
  </si>
  <si>
    <t xml:space="preserve">1 câble abîmé par opérateur pendant la mise en oeuvre</t>
  </si>
  <si>
    <t xml:space="preserve">216584506</t>
  </si>
  <si>
    <t xml:space="preserve">2 câbles court production (mise en oeuvre)</t>
  </si>
  <si>
    <t xml:space="preserve">217023341</t>
  </si>
  <si>
    <t xml:space="preserve">1 câble MLA18 abîmé mauvaise mise en oeuvre production</t>
  </si>
  <si>
    <t xml:space="preserve">217164440</t>
  </si>
  <si>
    <t xml:space="preserve">Câble 2799-0043, VNB24 abimé lors de la mise en oeuvre de l'auto-soudeur.</t>
  </si>
  <si>
    <t xml:space="preserve">217339788</t>
  </si>
  <si>
    <t xml:space="preserve">mauvais sertissage : 2351–3051 DR 18 L: 155 cm</t>
  </si>
  <si>
    <t xml:space="preserve">217481804</t>
  </si>
  <si>
    <t xml:space="preserve">1 MLB24 Abîmé par opérateur lors de la mise en oeuvre</t>
  </si>
  <si>
    <t xml:space="preserve">217639968</t>
  </si>
  <si>
    <t xml:space="preserve">Mauvaise MEO d'un contact QUADRAX KL24</t>
  </si>
  <si>
    <t xml:space="preserve">217640551</t>
  </si>
  <si>
    <t xml:space="preserve">Câble alu non sertie dans les 5H</t>
  </si>
  <si>
    <t xml:space="preserve">217770975</t>
  </si>
  <si>
    <t xml:space="preserve">2 AD24 7325-308 / 7325-0307 trop court mise en oeuvre production</t>
  </si>
  <si>
    <t xml:space="preserve">218014805</t>
  </si>
  <si>
    <t xml:space="preserve">les câbles suivants sont trop courts suite à une mauvaise mise en oeuvre des auto-soudeurs : 2799-0008 ADB24 L549cm 2799-0010 ADB24 L549cm 2799-0009 ADB24 L549cm</t>
  </si>
  <si>
    <t xml:space="preserve">Suite à retouche</t>
  </si>
  <si>
    <t xml:space="preserve">217519810</t>
  </si>
  <si>
    <t xml:space="preserve">N° 2434-0003 - Type : DG 4 - Longueur : 80CM</t>
  </si>
  <si>
    <t xml:space="preserve">217908587</t>
  </si>
  <si>
    <t xml:space="preserve">Câble est trop court. VNA 24, 2799-0009</t>
  </si>
  <si>
    <t xml:space="preserve">Point</t>
  </si>
  <si>
    <t xml:space="preserve">Constat</t>
  </si>
  <si>
    <t xml:space="preserve">NC présente sur deux lignes (même contenu).</t>
  </si>
  <si>
    <t xml:space="preserve">N° de NC vide</t>
  </si>
  <si>
    <t xml:space="preserve">→ 217838827</t>
  </si>
  <si>
    <t xml:space="preserve">Ligne « harnais 4715VB MSN 13697 » sans n° de NC ; la NC SAP correspondante est 217838827.</t>
  </si>
  <si>
    <t xml:space="preserve">N° de NC erroné</t>
  </si>
  <si>
    <t xml:space="preserve">Le n° pointe vers une NC rampe (protection alodine), supprimée dans SAP ; le commentaire décrit un câble coupé court.</t>
  </si>
  <si>
    <t xml:space="preserve">Date de création</t>
  </si>
  <si>
    <t xml:space="preserve">216293872, 216294895</t>
  </si>
  <si>
    <t xml:space="preserve">Année 2029 au lieu de 2026.</t>
  </si>
  <si>
    <t xml:space="preserve">Date mal formée : « 1208/2026 ».</t>
  </si>
  <si>
    <t xml:space="preserve">Date OF</t>
  </si>
  <si>
    <t xml:space="preserve">216053747</t>
  </si>
  <si>
    <t xml:space="preserve">OF daté du 06/01/2025, NC du 06/01/2026 (année).</t>
  </si>
  <si>
    <t xml:space="preserve">NC supprimées dans SAP</t>
  </si>
  <si>
    <t xml:space="preserve">216237277, 216280851, 216679350, 216931839, 217542504, 217766863</t>
  </si>
  <si>
    <t xml:space="preserve">Toujours comptées dans le suivi.</t>
  </si>
  <si>
    <t xml:space="preserve">NC annulées (TCLO)</t>
  </si>
  <si>
    <t xml:space="preserve">216632291, 216679350, 217766863</t>
  </si>
  <si>
    <t xml:space="preserve">La colonne Action ou le commentaire dit TCLO / doublon / câbles OK / retrouvés à la poubelle ; toujours comptées.</t>
  </si>
  <si>
    <t xml:space="preserve">Responsable TSFS</t>
  </si>
  <si>
    <t xml:space="preserve">« SAMIR », « Samir », « SAMIR » (avec espace) : une personne, trois graphies ; « NOUVEAU ST » utilisé comme nom.</t>
  </si>
  <si>
    <t xml:space="preserve">Commentaire TSFS</t>
  </si>
  <si>
    <t xml:space="preserve">« Imprimé » écrit de 6 façons ; la colonne vaut « Imprimé » partout : elle ne porte pas d’information.</t>
  </si>
  <si>
    <t xml:space="preserve">Porteur d'action / Statut</t>
  </si>
  <si>
    <t xml:space="preserve">Vides sur les 475 lignes ; « Action » renseignée 3 fois.</t>
  </si>
  <si>
    <t xml:space="preserve">Une ligne = une NC</t>
  </si>
  <si>
    <t xml:space="preserve">475 lignes pour environ 813 câbles ; 113 lignes couvrent plusieurs câbles (jusqu’à 50 pour un lot mal imprimé).</t>
  </si>
  <si>
    <t xml:space="preserve">Provenance non écrite</t>
  </si>
  <si>
    <t xml:space="preserve">236 lignes dont le commentaire ne dit pas si le câble est arrivé ainsi ou a été abîmé en ligne ; 174 d’entre elles sont imputées à la production.</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</si>
</sst>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
      <i val="true"/>
      <sz val="9"/>
      <name val="Arial"/>
      <family val="0"/>
      <charset val="1"/>
    </font>
    <font>
      <i val="true"/>
      <sz val="10"/>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FFF2CC"/>
        <bgColor rgb="FFFFF3CD"/>
      </patternFill>
    </fill>
    <fill>
      <patternFill patternType="solid">
        <fgColor rgb="FFF8D7DA"/>
        <bgColor rgb="FFFFF2CC"/>
      </patternFill>
    </fill>
    <fill>
      <patternFill patternType="solid">
        <fgColor rgb="FFFFF3CD"/>
        <bgColor rgb="FFFFF2CC"/>
      </patternFill>
    </fill>
    <fill>
      <patternFill patternType="solid">
        <fgColor rgb="FFD6E4F0"/>
        <bgColor rgb="FFC9D1DB"/>
      </patternFill>
    </fill>
  </fills>
  <borders count="2">
    <border diagonalUp="false" diagonalDown="false">
      <left/>
      <right/>
      <top/>
      <bottom/>
      <diagonal/>
    </border>
    <border diagonalUp="false" diagonalDown="false">
      <left style="thin">
        <color rgb="FFC9D1DB"/>
      </left>
      <right style="thin">
        <color rgb="FFC9D1DB"/>
      </right>
      <top style="thin">
        <color rgb="FFC9D1DB"/>
      </top>
      <bottom style="thin">
        <color rgb="FFC9D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6E4F0"/>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D6E4F0"/>
      <rgbColor rgb="FF660066"/>
      <rgbColor rgb="FFFF8080"/>
      <rgbColor rgb="FF0066CC"/>
      <rgbColor rgb="FFC9D1DB"/>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3" min="2" style="1" width="18"/>
    <col collapsed="false" customWidth="true" hidden="false" outlineLevel="0" max="4" min="4" style="1" width="40"/>
    <col collapsed="false" customWidth="true" hidden="false" outlineLevel="0" max="5" min="5" style="1" width="16"/>
  </cols>
  <sheetData>
    <row r="1" customFormat="false" ht="17.2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t="s">
        <v>8</v>
      </c>
    </row>
    <row r="11" customFormat="false" ht="15" hidden="false" customHeight="true" outlineLevel="0" collapsed="false">
      <c r="A11" s="4"/>
    </row>
    <row r="12" customFormat="false" ht="15" hidden="false" customHeight="true" outlineLevel="0" collapsed="false">
      <c r="A12" s="5" t="s">
        <v>9</v>
      </c>
    </row>
    <row r="13" customFormat="false" ht="23.25" hidden="false" customHeight="true" outlineLevel="0" collapsed="false">
      <c r="A13" s="3" t="s">
        <v>10</v>
      </c>
    </row>
    <row r="14" customFormat="false" ht="23.25" hidden="false" customHeight="true" outlineLevel="0" collapsed="false">
      <c r="A14" s="3" t="s">
        <v>11</v>
      </c>
    </row>
    <row r="15" customFormat="false" ht="15" hidden="false" customHeight="true" outlineLevel="0" collapsed="false">
      <c r="A15" s="4"/>
    </row>
    <row r="16" customFormat="false" ht="15" hidden="false" customHeight="true" outlineLevel="0" collapsed="false">
      <c r="A16" s="5" t="s">
        <v>12</v>
      </c>
    </row>
    <row r="17" customFormat="false" ht="15" hidden="false" customHeight="true" outlineLevel="0" collapsed="false">
      <c r="A17" s="6" t="s">
        <v>13</v>
      </c>
      <c r="B17" s="6" t="s">
        <v>14</v>
      </c>
      <c r="C17" s="6" t="s">
        <v>15</v>
      </c>
      <c r="D17" s="6" t="s">
        <v>16</v>
      </c>
      <c r="E17" s="6" t="s">
        <v>17</v>
      </c>
    </row>
    <row r="18" customFormat="false" ht="15" hidden="false" customHeight="true" outlineLevel="0" collapsed="false">
      <c r="A18" s="7" t="s">
        <v>18</v>
      </c>
      <c r="B18" s="7" t="s">
        <v>19</v>
      </c>
      <c r="C18" s="7" t="s">
        <v>20</v>
      </c>
      <c r="D18" s="8" t="s">
        <v>21</v>
      </c>
      <c r="E18" s="8"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2"/>
    <col collapsed="false" customWidth="true" hidden="false" outlineLevel="0" max="6" min="2" style="1" width="16"/>
  </cols>
  <sheetData>
    <row r="1" customFormat="false" ht="17.25" hidden="false" customHeight="true" outlineLevel="0" collapsed="false">
      <c r="A1" s="9" t="s">
        <v>23</v>
      </c>
    </row>
    <row r="3" customFormat="false" ht="15" hidden="false" customHeight="true" outlineLevel="0" collapsed="false">
      <c r="A3" s="10" t="s">
        <v>24</v>
      </c>
      <c r="B3" s="10" t="s">
        <v>25</v>
      </c>
      <c r="C3" s="10" t="s">
        <v>26</v>
      </c>
      <c r="D3" s="10" t="s">
        <v>27</v>
      </c>
      <c r="E3" s="10" t="s">
        <v>28</v>
      </c>
      <c r="F3" s="10" t="s">
        <v>29</v>
      </c>
    </row>
    <row r="4" customFormat="false" ht="15" hidden="false" customHeight="true" outlineLevel="0" collapsed="false">
      <c r="A4" s="11" t="s">
        <v>30</v>
      </c>
      <c r="B4" s="11" t="n">
        <f aca="false">COUNTIFS('Revue NC'!$H$2:$H$47,$A4,'Revue NC'!$I$2:$I$47,B$3)</f>
        <v>11</v>
      </c>
      <c r="C4" s="11" t="n">
        <f aca="false">COUNTIFS('Revue NC'!$H$2:$H$47,$A4,'Revue NC'!$I$2:$I$47,C$3)</f>
        <v>2</v>
      </c>
      <c r="D4" s="11" t="n">
        <f aca="false">COUNTIFS('Revue NC'!$H$2:$H$47,$A4,'Revue NC'!$I$2:$I$47,D$3)</f>
        <v>0</v>
      </c>
      <c r="E4" s="11" t="n">
        <f aca="false">SUM(B4:D4)</f>
        <v>13</v>
      </c>
      <c r="F4" s="11" t="n">
        <f aca="false">COUNTIFS('Revue NC'!$H$2:$H$47,$A4,'Revue NC'!$O$2:$O$47,"&lt;&gt;")</f>
        <v>0</v>
      </c>
    </row>
    <row r="5" customFormat="false" ht="15" hidden="false" customHeight="true" outlineLevel="0" collapsed="false">
      <c r="A5" s="11" t="s">
        <v>31</v>
      </c>
      <c r="B5" s="11" t="n">
        <f aca="false">COUNTIFS('Revue NC'!$H$2:$H$47,$A5,'Revue NC'!$I$2:$I$47,B$3)</f>
        <v>1</v>
      </c>
      <c r="C5" s="11" t="n">
        <f aca="false">COUNTIFS('Revue NC'!$H$2:$H$47,$A5,'Revue NC'!$I$2:$I$47,C$3)</f>
        <v>0</v>
      </c>
      <c r="D5" s="11" t="n">
        <f aca="false">COUNTIFS('Revue NC'!$H$2:$H$47,$A5,'Revue NC'!$I$2:$I$47,D$3)</f>
        <v>0</v>
      </c>
      <c r="E5" s="11" t="n">
        <f aca="false">SUM(B5:D5)</f>
        <v>1</v>
      </c>
      <c r="F5" s="11" t="n">
        <f aca="false">COUNTIFS('Revue NC'!$H$2:$H$47,$A5,'Revue NC'!$O$2:$O$47,"&lt;&gt;")</f>
        <v>0</v>
      </c>
    </row>
    <row r="6" customFormat="false" ht="15" hidden="false" customHeight="true" outlineLevel="0" collapsed="false">
      <c r="A6" s="11" t="s">
        <v>32</v>
      </c>
      <c r="B6" s="11" t="n">
        <f aca="false">COUNTIFS('Revue NC'!$H$2:$H$47,$A6,'Revue NC'!$I$2:$I$47,B$3)</f>
        <v>1</v>
      </c>
      <c r="C6" s="11" t="n">
        <f aca="false">COUNTIFS('Revue NC'!$H$2:$H$47,$A6,'Revue NC'!$I$2:$I$47,C$3)</f>
        <v>0</v>
      </c>
      <c r="D6" s="11" t="n">
        <f aca="false">COUNTIFS('Revue NC'!$H$2:$H$47,$A6,'Revue NC'!$I$2:$I$47,D$3)</f>
        <v>0</v>
      </c>
      <c r="E6" s="11" t="n">
        <f aca="false">SUM(B6:D6)</f>
        <v>1</v>
      </c>
      <c r="F6" s="11" t="n">
        <f aca="false">COUNTIFS('Revue NC'!$H$2:$H$47,$A6,'Revue NC'!$O$2:$O$47,"&lt;&gt;")</f>
        <v>0</v>
      </c>
    </row>
    <row r="7" customFormat="false" ht="15" hidden="false" customHeight="true" outlineLevel="0" collapsed="false">
      <c r="A7" s="11" t="s">
        <v>33</v>
      </c>
      <c r="B7" s="11" t="n">
        <f aca="false">COUNTIFS('Revue NC'!$H$2:$H$47,$A7,'Revue NC'!$I$2:$I$47,B$3)</f>
        <v>0</v>
      </c>
      <c r="C7" s="11" t="n">
        <f aca="false">COUNTIFS('Revue NC'!$H$2:$H$47,$A7,'Revue NC'!$I$2:$I$47,C$3)</f>
        <v>0</v>
      </c>
      <c r="D7" s="11" t="n">
        <f aca="false">COUNTIFS('Revue NC'!$H$2:$H$47,$A7,'Revue NC'!$I$2:$I$47,D$3)</f>
        <v>3</v>
      </c>
      <c r="E7" s="11" t="n">
        <f aca="false">SUM(B7:D7)</f>
        <v>3</v>
      </c>
      <c r="F7" s="11" t="n">
        <f aca="false">COUNTIFS('Revue NC'!$H$2:$H$47,$A7,'Revue NC'!$O$2:$O$47,"&lt;&gt;")</f>
        <v>0</v>
      </c>
    </row>
    <row r="8" customFormat="false" ht="15" hidden="false" customHeight="true" outlineLevel="0" collapsed="false">
      <c r="A8" s="11" t="s">
        <v>34</v>
      </c>
      <c r="B8" s="11" t="n">
        <f aca="false">COUNTIFS('Revue NC'!$H$2:$H$47,$A8,'Revue NC'!$I$2:$I$47,B$3)</f>
        <v>0</v>
      </c>
      <c r="C8" s="11" t="n">
        <f aca="false">COUNTIFS('Revue NC'!$H$2:$H$47,$A8,'Revue NC'!$I$2:$I$47,C$3)</f>
        <v>3</v>
      </c>
      <c r="D8" s="11" t="n">
        <f aca="false">COUNTIFS('Revue NC'!$H$2:$H$47,$A8,'Revue NC'!$I$2:$I$47,D$3)</f>
        <v>0</v>
      </c>
      <c r="E8" s="11" t="n">
        <f aca="false">SUM(B8:D8)</f>
        <v>3</v>
      </c>
      <c r="F8" s="11" t="n">
        <f aca="false">COUNTIFS('Revue NC'!$H$2:$H$47,$A8,'Revue NC'!$O$2:$O$47,"&lt;&gt;")</f>
        <v>0</v>
      </c>
    </row>
    <row r="9" customFormat="false" ht="15" hidden="false" customHeight="true" outlineLevel="0" collapsed="false">
      <c r="A9" s="11" t="s">
        <v>35</v>
      </c>
      <c r="B9" s="11" t="n">
        <f aca="false">COUNTIFS('Revue NC'!$H$2:$H$47,$A9,'Revue NC'!$I$2:$I$47,B$3)</f>
        <v>0</v>
      </c>
      <c r="C9" s="11" t="n">
        <f aca="false">COUNTIFS('Revue NC'!$H$2:$H$47,$A9,'Revue NC'!$I$2:$I$47,C$3)</f>
        <v>2</v>
      </c>
      <c r="D9" s="11" t="n">
        <f aca="false">COUNTIFS('Revue NC'!$H$2:$H$47,$A9,'Revue NC'!$I$2:$I$47,D$3)</f>
        <v>0</v>
      </c>
      <c r="E9" s="11" t="n">
        <f aca="false">SUM(B9:D9)</f>
        <v>2</v>
      </c>
      <c r="F9" s="11" t="n">
        <f aca="false">COUNTIFS('Revue NC'!$H$2:$H$47,$A9,'Revue NC'!$O$2:$O$47,"&lt;&gt;")</f>
        <v>0</v>
      </c>
    </row>
    <row r="10" customFormat="false" ht="15" hidden="false" customHeight="true" outlineLevel="0" collapsed="false">
      <c r="A10" s="11" t="s">
        <v>36</v>
      </c>
      <c r="B10" s="11" t="n">
        <f aca="false">COUNTIFS('Revue NC'!$H$2:$H$47,$A10,'Revue NC'!$I$2:$I$47,B$3)</f>
        <v>0</v>
      </c>
      <c r="C10" s="11" t="n">
        <f aca="false">COUNTIFS('Revue NC'!$H$2:$H$47,$A10,'Revue NC'!$I$2:$I$47,C$3)</f>
        <v>1</v>
      </c>
      <c r="D10" s="11" t="n">
        <f aca="false">COUNTIFS('Revue NC'!$H$2:$H$47,$A10,'Revue NC'!$I$2:$I$47,D$3)</f>
        <v>0</v>
      </c>
      <c r="E10" s="11" t="n">
        <f aca="false">SUM(B10:D10)</f>
        <v>1</v>
      </c>
      <c r="F10" s="11" t="n">
        <f aca="false">COUNTIFS('Revue NC'!$H$2:$H$47,$A10,'Revue NC'!$O$2:$O$47,"&lt;&gt;")</f>
        <v>0</v>
      </c>
    </row>
    <row r="11" customFormat="false" ht="15" hidden="false" customHeight="true" outlineLevel="0" collapsed="false">
      <c r="A11" s="11" t="s">
        <v>37</v>
      </c>
      <c r="B11" s="11" t="n">
        <f aca="false">COUNTIFS('Revue NC'!$H$2:$H$47,$A11,'Revue NC'!$I$2:$I$47,B$3)</f>
        <v>1</v>
      </c>
      <c r="C11" s="11" t="n">
        <f aca="false">COUNTIFS('Revue NC'!$H$2:$H$47,$A11,'Revue NC'!$I$2:$I$47,C$3)</f>
        <v>15</v>
      </c>
      <c r="D11" s="11" t="n">
        <f aca="false">COUNTIFS('Revue NC'!$H$2:$H$47,$A11,'Revue NC'!$I$2:$I$47,D$3)</f>
        <v>0</v>
      </c>
      <c r="E11" s="11" t="n">
        <f aca="false">SUM(B11:D11)</f>
        <v>16</v>
      </c>
      <c r="F11" s="11" t="n">
        <f aca="false">COUNTIFS('Revue NC'!$H$2:$H$47,$A11,'Revue NC'!$O$2:$O$47,"&lt;&gt;")</f>
        <v>0</v>
      </c>
    </row>
    <row r="12" customFormat="false" ht="15" hidden="false" customHeight="true" outlineLevel="0" collapsed="false">
      <c r="A12" s="11" t="s">
        <v>38</v>
      </c>
      <c r="B12" s="11" t="n">
        <f aca="false">COUNTIFS('Revue NC'!$H$2:$H$47,$A12,'Revue NC'!$I$2:$I$47,B$3)</f>
        <v>3</v>
      </c>
      <c r="C12" s="11" t="n">
        <f aca="false">COUNTIFS('Revue NC'!$H$2:$H$47,$A12,'Revue NC'!$I$2:$I$47,C$3)</f>
        <v>2</v>
      </c>
      <c r="D12" s="11" t="n">
        <f aca="false">COUNTIFS('Revue NC'!$H$2:$H$47,$A12,'Revue NC'!$I$2:$I$47,D$3)</f>
        <v>0</v>
      </c>
      <c r="E12" s="11" t="n">
        <f aca="false">SUM(B12:D12)</f>
        <v>5</v>
      </c>
      <c r="F12" s="11" t="n">
        <f aca="false">COUNTIFS('Revue NC'!$H$2:$H$47,$A12,'Revue NC'!$O$2:$O$47,"&lt;&gt;")</f>
        <v>0</v>
      </c>
    </row>
    <row r="13" customFormat="false" ht="15" hidden="false" customHeight="true" outlineLevel="0" collapsed="false">
      <c r="A13" s="11" t="s">
        <v>39</v>
      </c>
      <c r="B13" s="11" t="n">
        <f aca="false">COUNTIFS('Revue NC'!$H$2:$H$47,$A13,'Revue NC'!$I$2:$I$47,B$3)</f>
        <v>1</v>
      </c>
      <c r="C13" s="11" t="n">
        <f aca="false">COUNTIFS('Revue NC'!$H$2:$H$47,$A13,'Revue NC'!$I$2:$I$47,C$3)</f>
        <v>0</v>
      </c>
      <c r="D13" s="11" t="n">
        <f aca="false">COUNTIFS('Revue NC'!$H$2:$H$47,$A13,'Revue NC'!$I$2:$I$47,D$3)</f>
        <v>0</v>
      </c>
      <c r="E13" s="11" t="n">
        <f aca="false">SUM(B13:D13)</f>
        <v>1</v>
      </c>
      <c r="F13" s="11" t="n">
        <f aca="false">COUNTIFS('Revue NC'!$H$2:$H$47,$A13,'Revue NC'!$O$2:$O$47,"&lt;&gt;")</f>
        <v>0</v>
      </c>
    </row>
    <row r="14" customFormat="false" ht="15" hidden="false" customHeight="true" outlineLevel="0" collapsed="false">
      <c r="A14" s="12" t="s">
        <v>28</v>
      </c>
      <c r="B14" s="13" t="n">
        <f aca="false">SUM(B4:B13)</f>
        <v>18</v>
      </c>
      <c r="C14" s="13" t="n">
        <f aca="false">SUM(C4:C13)</f>
        <v>25</v>
      </c>
      <c r="D14" s="13" t="n">
        <f aca="false">SUM(D4:D13)</f>
        <v>3</v>
      </c>
      <c r="E14" s="13" t="n">
        <f aca="false">SUM(E4:E13)</f>
        <v>46</v>
      </c>
      <c r="F14" s="13" t="n">
        <f aca="false">SUM(F4:F13)</f>
        <v>0</v>
      </c>
    </row>
    <row r="16" customFormat="false" ht="15" hidden="false" customHeight="true" outlineLevel="0" collapsed="false">
      <c r="A16" s="14" t="s">
        <v>40</v>
      </c>
    </row>
    <row r="17" customFormat="false" ht="15" hidden="false" customHeight="true" outlineLevel="0" collapsed="false">
      <c r="A17" s="15" t="s">
        <v>41</v>
      </c>
      <c r="B17" s="15" t="n">
        <v>475</v>
      </c>
    </row>
    <row r="18" customFormat="false" ht="15" hidden="false" customHeight="true" outlineLevel="0" collapsed="false">
      <c r="A18" s="15" t="s">
        <v>42</v>
      </c>
      <c r="B18" s="15" t="s">
        <v>43</v>
      </c>
    </row>
    <row r="19" customFormat="false" ht="15" hidden="false" customHeight="true" outlineLevel="0" collapsed="false">
      <c r="A19" s="15" t="s">
        <v>44</v>
      </c>
      <c r="B19" s="15" t="s">
        <v>45</v>
      </c>
    </row>
    <row r="20" customFormat="false" ht="15" hidden="false" customHeight="true" outlineLevel="0" collapsed="false">
      <c r="A20" s="15" t="s">
        <v>46</v>
      </c>
      <c r="B20" s="15" t="s">
        <v>47</v>
      </c>
    </row>
    <row r="21" customFormat="false" ht="15" hidden="false" customHeight="true" outlineLevel="0" collapsed="false">
      <c r="A21" s="15" t="s">
        <v>48</v>
      </c>
      <c r="B21" s="15" t="s">
        <v>49</v>
      </c>
    </row>
    <row r="22" customFormat="false" ht="15" hidden="false" customHeight="true" outlineLevel="0" collapsed="false">
      <c r="A22" s="15" t="s">
        <v>50</v>
      </c>
      <c r="B22" s="15" t="s">
        <v>51</v>
      </c>
    </row>
    <row r="23" customFormat="false" ht="15" hidden="false" customHeight="true" outlineLevel="0" collapsed="false">
      <c r="A23" s="16"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9"/>
    <col collapsed="false" customWidth="true" hidden="false" outlineLevel="0" max="4" min="4" style="1" width="7"/>
    <col collapsed="false" customWidth="true" hidden="false" outlineLevel="0" max="5" min="5" style="1" width="9"/>
    <col collapsed="false" customWidth="true" hidden="false" outlineLevel="0" max="6" min="6" style="1" width="16"/>
    <col collapsed="false" customWidth="true" hidden="false" outlineLevel="0" max="7" min="7" style="1" width="20"/>
    <col collapsed="false" customWidth="true" hidden="false" outlineLevel="0" max="8" min="8" style="1" width="22"/>
    <col collapsed="false" customWidth="true" hidden="false" outlineLevel="0" max="9" min="9" style="1" width="15"/>
    <col collapsed="false" customWidth="true" hidden="false" outlineLevel="0" max="10" min="10" style="1" width="48"/>
    <col collapsed="false" customWidth="true" hidden="false" outlineLevel="0" max="11" min="11" style="1" width="40"/>
    <col collapsed="false" customWidth="true" hidden="false" outlineLevel="0" max="12" min="12" style="1" width="30"/>
    <col collapsed="false" customWidth="true" hidden="false" outlineLevel="0" max="13" min="13" style="1" width="38"/>
    <col collapsed="false" customWidth="true" hidden="false" outlineLevel="0" max="14" min="14" style="1" width="30"/>
    <col collapsed="false" customWidth="true" hidden="false" outlineLevel="0" max="15" min="15" style="1" width="16"/>
  </cols>
  <sheetData>
    <row r="1" customFormat="false" ht="23.25" hidden="false" customHeight="true" outlineLevel="0" collapsed="false">
      <c r="A1" s="6" t="s">
        <v>13</v>
      </c>
      <c r="B1" s="6" t="s">
        <v>53</v>
      </c>
      <c r="C1" s="6" t="s">
        <v>54</v>
      </c>
      <c r="D1" s="6" t="s">
        <v>55</v>
      </c>
      <c r="E1" s="6" t="s">
        <v>56</v>
      </c>
      <c r="F1" s="6" t="s">
        <v>14</v>
      </c>
      <c r="G1" s="6" t="s">
        <v>57</v>
      </c>
      <c r="H1" s="6" t="s">
        <v>24</v>
      </c>
      <c r="I1" s="6" t="s">
        <v>58</v>
      </c>
      <c r="J1" s="6" t="s">
        <v>59</v>
      </c>
      <c r="K1" s="6" t="s">
        <v>60</v>
      </c>
      <c r="L1" s="6" t="s">
        <v>15</v>
      </c>
      <c r="M1" s="6" t="s">
        <v>61</v>
      </c>
      <c r="N1" s="6" t="s">
        <v>16</v>
      </c>
      <c r="O1" s="6" t="s">
        <v>17</v>
      </c>
    </row>
    <row r="2" customFormat="false" ht="57" hidden="false" customHeight="true" outlineLevel="0" collapsed="false">
      <c r="A2" s="7" t="s">
        <v>62</v>
      </c>
      <c r="B2" s="7" t="s">
        <v>63</v>
      </c>
      <c r="C2" s="7" t="s">
        <v>64</v>
      </c>
      <c r="D2" s="7" t="s">
        <v>65</v>
      </c>
      <c r="E2" s="7" t="s">
        <v>66</v>
      </c>
      <c r="F2" s="7" t="s">
        <v>67</v>
      </c>
      <c r="G2" s="17" t="s">
        <v>68</v>
      </c>
      <c r="H2" s="17" t="s">
        <v>30</v>
      </c>
      <c r="I2" s="18" t="s">
        <v>25</v>
      </c>
      <c r="J2" s="17" t="s">
        <v>69</v>
      </c>
      <c r="K2" s="17" t="s">
        <v>70</v>
      </c>
      <c r="L2" s="17" t="s">
        <v>19</v>
      </c>
      <c r="M2" s="17" t="s">
        <v>71</v>
      </c>
      <c r="N2" s="19"/>
      <c r="O2" s="8"/>
    </row>
    <row r="3" customFormat="false" ht="23.25" hidden="false" customHeight="true" outlineLevel="0" collapsed="false">
      <c r="A3" s="7" t="s">
        <v>72</v>
      </c>
      <c r="B3" s="7" t="s">
        <v>73</v>
      </c>
      <c r="C3" s="7" t="s">
        <v>64</v>
      </c>
      <c r="D3" s="7" t="s">
        <v>74</v>
      </c>
      <c r="E3" s="7" t="s">
        <v>75</v>
      </c>
      <c r="F3" s="7" t="s">
        <v>76</v>
      </c>
      <c r="G3" s="17" t="s">
        <v>77</v>
      </c>
      <c r="H3" s="17" t="s">
        <v>30</v>
      </c>
      <c r="I3" s="18" t="s">
        <v>25</v>
      </c>
      <c r="J3" s="17" t="s">
        <v>78</v>
      </c>
      <c r="K3" s="17" t="s">
        <v>79</v>
      </c>
      <c r="L3" s="17" t="s">
        <v>19</v>
      </c>
      <c r="M3" s="17" t="s">
        <v>80</v>
      </c>
      <c r="N3" s="19"/>
      <c r="O3" s="8"/>
    </row>
    <row r="4" customFormat="false" ht="23.25" hidden="false" customHeight="true" outlineLevel="0" collapsed="false">
      <c r="A4" s="7" t="s">
        <v>81</v>
      </c>
      <c r="B4" s="7" t="s">
        <v>73</v>
      </c>
      <c r="C4" s="7" t="s">
        <v>82</v>
      </c>
      <c r="D4" s="7" t="s">
        <v>83</v>
      </c>
      <c r="E4" s="7" t="s">
        <v>66</v>
      </c>
      <c r="F4" s="7" t="s">
        <v>76</v>
      </c>
      <c r="G4" s="17" t="s">
        <v>77</v>
      </c>
      <c r="H4" s="17" t="s">
        <v>30</v>
      </c>
      <c r="I4" s="18" t="s">
        <v>25</v>
      </c>
      <c r="J4" s="17" t="s">
        <v>84</v>
      </c>
      <c r="K4" s="17" t="s">
        <v>85</v>
      </c>
      <c r="L4" s="17" t="s">
        <v>19</v>
      </c>
      <c r="M4" s="17" t="s">
        <v>80</v>
      </c>
      <c r="N4" s="19"/>
      <c r="O4" s="8"/>
    </row>
    <row r="5" customFormat="false" ht="45.75" hidden="false" customHeight="true" outlineLevel="0" collapsed="false">
      <c r="A5" s="7" t="s">
        <v>86</v>
      </c>
      <c r="B5" s="7" t="s">
        <v>87</v>
      </c>
      <c r="C5" s="7" t="s">
        <v>88</v>
      </c>
      <c r="D5" s="7" t="s">
        <v>89</v>
      </c>
      <c r="E5" s="7" t="s">
        <v>66</v>
      </c>
      <c r="F5" s="7" t="s">
        <v>90</v>
      </c>
      <c r="G5" s="17" t="s">
        <v>77</v>
      </c>
      <c r="H5" s="17" t="s">
        <v>30</v>
      </c>
      <c r="I5" s="18" t="s">
        <v>25</v>
      </c>
      <c r="J5" s="17" t="s">
        <v>91</v>
      </c>
      <c r="K5" s="17" t="s">
        <v>92</v>
      </c>
      <c r="L5" s="17" t="s">
        <v>19</v>
      </c>
      <c r="M5" s="17" t="s">
        <v>93</v>
      </c>
      <c r="N5" s="19"/>
      <c r="O5" s="8"/>
    </row>
    <row r="6" customFormat="false" ht="57" hidden="false" customHeight="true" outlineLevel="0" collapsed="false">
      <c r="A6" s="7" t="s">
        <v>94</v>
      </c>
      <c r="B6" s="7" t="s">
        <v>95</v>
      </c>
      <c r="C6" s="7" t="s">
        <v>88</v>
      </c>
      <c r="D6" s="7" t="s">
        <v>96</v>
      </c>
      <c r="E6" s="7" t="s">
        <v>66</v>
      </c>
      <c r="F6" s="7" t="s">
        <v>90</v>
      </c>
      <c r="G6" s="17" t="s">
        <v>77</v>
      </c>
      <c r="H6" s="17" t="s">
        <v>30</v>
      </c>
      <c r="I6" s="18" t="s">
        <v>25</v>
      </c>
      <c r="J6" s="17" t="s">
        <v>97</v>
      </c>
      <c r="K6" s="17" t="s">
        <v>98</v>
      </c>
      <c r="L6" s="17" t="s">
        <v>19</v>
      </c>
      <c r="M6" s="17" t="s">
        <v>99</v>
      </c>
      <c r="N6" s="19"/>
      <c r="O6" s="8"/>
    </row>
    <row r="7" customFormat="false" ht="57" hidden="false" customHeight="true" outlineLevel="0" collapsed="false">
      <c r="A7" s="7" t="s">
        <v>100</v>
      </c>
      <c r="B7" s="7" t="s">
        <v>101</v>
      </c>
      <c r="C7" s="7" t="s">
        <v>88</v>
      </c>
      <c r="D7" s="7" t="s">
        <v>102</v>
      </c>
      <c r="E7" s="7" t="s">
        <v>66</v>
      </c>
      <c r="F7" s="7" t="s">
        <v>90</v>
      </c>
      <c r="G7" s="17" t="s">
        <v>77</v>
      </c>
      <c r="H7" s="17" t="s">
        <v>30</v>
      </c>
      <c r="I7" s="18" t="s">
        <v>25</v>
      </c>
      <c r="J7" s="17" t="s">
        <v>103</v>
      </c>
      <c r="K7" s="17" t="s">
        <v>104</v>
      </c>
      <c r="L7" s="17" t="s">
        <v>19</v>
      </c>
      <c r="M7" s="17" t="s">
        <v>105</v>
      </c>
      <c r="N7" s="19"/>
      <c r="O7" s="8"/>
    </row>
    <row r="8" customFormat="false" ht="15" hidden="false" customHeight="true" outlineLevel="0" collapsed="false">
      <c r="A8" s="7" t="s">
        <v>106</v>
      </c>
      <c r="B8" s="7" t="s">
        <v>107</v>
      </c>
      <c r="C8" s="7" t="s">
        <v>64</v>
      </c>
      <c r="D8" s="7" t="s">
        <v>108</v>
      </c>
      <c r="E8" s="7" t="s">
        <v>75</v>
      </c>
      <c r="F8" s="7" t="s">
        <v>90</v>
      </c>
      <c r="G8" s="17" t="s">
        <v>77</v>
      </c>
      <c r="H8" s="17" t="s">
        <v>30</v>
      </c>
      <c r="I8" s="18" t="s">
        <v>25</v>
      </c>
      <c r="J8" s="17" t="s">
        <v>78</v>
      </c>
      <c r="K8" s="17" t="s">
        <v>109</v>
      </c>
      <c r="L8" s="17" t="s">
        <v>76</v>
      </c>
      <c r="M8" s="17" t="s">
        <v>110</v>
      </c>
      <c r="N8" s="19"/>
      <c r="O8" s="8"/>
    </row>
    <row r="9" customFormat="false" ht="15" hidden="false" customHeight="true" outlineLevel="0" collapsed="false">
      <c r="A9" s="7" t="s">
        <v>111</v>
      </c>
      <c r="B9" s="7" t="s">
        <v>112</v>
      </c>
      <c r="C9" s="7" t="s">
        <v>64</v>
      </c>
      <c r="D9" s="7" t="s">
        <v>113</v>
      </c>
      <c r="E9" s="7" t="s">
        <v>75</v>
      </c>
      <c r="F9" s="7" t="s">
        <v>67</v>
      </c>
      <c r="G9" s="17" t="s">
        <v>77</v>
      </c>
      <c r="H9" s="17" t="s">
        <v>30</v>
      </c>
      <c r="I9" s="18" t="s">
        <v>25</v>
      </c>
      <c r="J9" s="17" t="s">
        <v>78</v>
      </c>
      <c r="K9" s="17" t="s">
        <v>114</v>
      </c>
      <c r="L9" s="17" t="s">
        <v>76</v>
      </c>
      <c r="M9" s="17" t="s">
        <v>115</v>
      </c>
      <c r="N9" s="19"/>
      <c r="O9" s="8"/>
    </row>
    <row r="10" customFormat="false" ht="23.25" hidden="false" customHeight="true" outlineLevel="0" collapsed="false">
      <c r="A10" s="7" t="s">
        <v>18</v>
      </c>
      <c r="B10" s="7" t="s">
        <v>116</v>
      </c>
      <c r="C10" s="7" t="s">
        <v>64</v>
      </c>
      <c r="D10" s="7" t="s">
        <v>117</v>
      </c>
      <c r="E10" s="7" t="s">
        <v>75</v>
      </c>
      <c r="F10" s="7" t="s">
        <v>19</v>
      </c>
      <c r="G10" s="17" t="s">
        <v>118</v>
      </c>
      <c r="H10" s="17" t="s">
        <v>30</v>
      </c>
      <c r="I10" s="18" t="s">
        <v>25</v>
      </c>
      <c r="J10" s="17" t="s">
        <v>78</v>
      </c>
      <c r="K10" s="17" t="s">
        <v>119</v>
      </c>
      <c r="L10" s="17" t="s">
        <v>20</v>
      </c>
      <c r="M10" s="17" t="s">
        <v>120</v>
      </c>
      <c r="N10" s="19"/>
      <c r="O10" s="8"/>
    </row>
    <row r="11" customFormat="false" ht="45.75" hidden="false" customHeight="true" outlineLevel="0" collapsed="false">
      <c r="A11" s="7" t="s">
        <v>121</v>
      </c>
      <c r="B11" s="7" t="s">
        <v>122</v>
      </c>
      <c r="C11" s="7" t="s">
        <v>82</v>
      </c>
      <c r="D11" s="7" t="s">
        <v>123</v>
      </c>
      <c r="E11" s="7" t="s">
        <v>66</v>
      </c>
      <c r="F11" s="7" t="s">
        <v>90</v>
      </c>
      <c r="G11" s="17" t="s">
        <v>77</v>
      </c>
      <c r="H11" s="17" t="s">
        <v>30</v>
      </c>
      <c r="I11" s="18" t="s">
        <v>25</v>
      </c>
      <c r="J11" s="17" t="s">
        <v>78</v>
      </c>
      <c r="K11" s="17" t="s">
        <v>124</v>
      </c>
      <c r="L11" s="17" t="s">
        <v>20</v>
      </c>
      <c r="M11" s="17" t="s">
        <v>125</v>
      </c>
      <c r="N11" s="19"/>
      <c r="O11" s="8"/>
    </row>
    <row r="12" customFormat="false" ht="57" hidden="false" customHeight="true" outlineLevel="0" collapsed="false">
      <c r="A12" s="7" t="s">
        <v>126</v>
      </c>
      <c r="B12" s="7" t="s">
        <v>127</v>
      </c>
      <c r="C12" s="7" t="s">
        <v>88</v>
      </c>
      <c r="D12" s="7" t="s">
        <v>128</v>
      </c>
      <c r="E12" s="7" t="s">
        <v>66</v>
      </c>
      <c r="F12" s="7" t="s">
        <v>19</v>
      </c>
      <c r="G12" s="17" t="s">
        <v>118</v>
      </c>
      <c r="H12" s="17" t="s">
        <v>30</v>
      </c>
      <c r="I12" s="18" t="s">
        <v>25</v>
      </c>
      <c r="J12" s="17" t="s">
        <v>129</v>
      </c>
      <c r="K12" s="17" t="s">
        <v>130</v>
      </c>
      <c r="L12" s="17" t="s">
        <v>20</v>
      </c>
      <c r="M12" s="17" t="s">
        <v>131</v>
      </c>
      <c r="N12" s="19"/>
      <c r="O12" s="8"/>
    </row>
    <row r="13" customFormat="false" ht="57" hidden="false" customHeight="true" outlineLevel="0" collapsed="false">
      <c r="A13" s="7" t="s">
        <v>132</v>
      </c>
      <c r="B13" s="7" t="s">
        <v>133</v>
      </c>
      <c r="C13" s="7" t="s">
        <v>64</v>
      </c>
      <c r="D13" s="7" t="s">
        <v>134</v>
      </c>
      <c r="E13" s="7" t="s">
        <v>66</v>
      </c>
      <c r="F13" s="7" t="s">
        <v>67</v>
      </c>
      <c r="G13" s="17" t="s">
        <v>135</v>
      </c>
      <c r="H13" s="17" t="s">
        <v>31</v>
      </c>
      <c r="I13" s="18" t="s">
        <v>25</v>
      </c>
      <c r="J13" s="17" t="s">
        <v>136</v>
      </c>
      <c r="K13" s="17" t="s">
        <v>137</v>
      </c>
      <c r="L13" s="17" t="s">
        <v>138</v>
      </c>
      <c r="M13" s="17" t="s">
        <v>139</v>
      </c>
      <c r="N13" s="19"/>
      <c r="O13" s="8"/>
    </row>
    <row r="14" customFormat="false" ht="57" hidden="false" customHeight="true" outlineLevel="0" collapsed="false">
      <c r="A14" s="7" t="s">
        <v>140</v>
      </c>
      <c r="B14" s="7" t="s">
        <v>141</v>
      </c>
      <c r="C14" s="7" t="s">
        <v>64</v>
      </c>
      <c r="D14" s="7" t="s">
        <v>142</v>
      </c>
      <c r="E14" s="7" t="s">
        <v>75</v>
      </c>
      <c r="F14" s="7" t="s">
        <v>19</v>
      </c>
      <c r="G14" s="17" t="s">
        <v>77</v>
      </c>
      <c r="H14" s="17" t="s">
        <v>32</v>
      </c>
      <c r="I14" s="18" t="s">
        <v>25</v>
      </c>
      <c r="J14" s="17" t="s">
        <v>143</v>
      </c>
      <c r="K14" s="17" t="s">
        <v>144</v>
      </c>
      <c r="L14" s="17" t="s">
        <v>145</v>
      </c>
      <c r="M14" s="17" t="s">
        <v>146</v>
      </c>
      <c r="N14" s="19"/>
      <c r="O14" s="8"/>
    </row>
    <row r="15" customFormat="false" ht="57" hidden="false" customHeight="true" outlineLevel="0" collapsed="false">
      <c r="A15" s="7" t="s">
        <v>147</v>
      </c>
      <c r="B15" s="7" t="s">
        <v>148</v>
      </c>
      <c r="C15" s="7" t="s">
        <v>64</v>
      </c>
      <c r="D15" s="7" t="s">
        <v>149</v>
      </c>
      <c r="E15" s="7" t="s">
        <v>66</v>
      </c>
      <c r="F15" s="7" t="s">
        <v>90</v>
      </c>
      <c r="G15" s="17" t="s">
        <v>77</v>
      </c>
      <c r="H15" s="17" t="s">
        <v>30</v>
      </c>
      <c r="I15" s="20" t="s">
        <v>26</v>
      </c>
      <c r="J15" s="17" t="s">
        <v>150</v>
      </c>
      <c r="K15" s="17" t="s">
        <v>78</v>
      </c>
      <c r="L15" s="17" t="s">
        <v>151</v>
      </c>
      <c r="M15" s="17" t="s">
        <v>152</v>
      </c>
      <c r="N15" s="19"/>
      <c r="O15" s="8"/>
    </row>
    <row r="16" customFormat="false" ht="57" hidden="false" customHeight="true" outlineLevel="0" collapsed="false">
      <c r="A16" s="7" t="s">
        <v>153</v>
      </c>
      <c r="B16" s="7" t="s">
        <v>154</v>
      </c>
      <c r="C16" s="7" t="s">
        <v>88</v>
      </c>
      <c r="D16" s="7" t="s">
        <v>155</v>
      </c>
      <c r="E16" s="7" t="s">
        <v>66</v>
      </c>
      <c r="F16" s="7" t="s">
        <v>20</v>
      </c>
      <c r="G16" s="17" t="s">
        <v>77</v>
      </c>
      <c r="H16" s="17" t="s">
        <v>30</v>
      </c>
      <c r="I16" s="20" t="s">
        <v>26</v>
      </c>
      <c r="J16" s="17" t="s">
        <v>156</v>
      </c>
      <c r="K16" s="17" t="s">
        <v>157</v>
      </c>
      <c r="L16" s="17" t="s">
        <v>151</v>
      </c>
      <c r="M16" s="17" t="s">
        <v>158</v>
      </c>
      <c r="N16" s="19"/>
      <c r="O16" s="8"/>
    </row>
    <row r="17" customFormat="false" ht="57" hidden="false" customHeight="true" outlineLevel="0" collapsed="false">
      <c r="A17" s="7" t="s">
        <v>159</v>
      </c>
      <c r="B17" s="7" t="s">
        <v>160</v>
      </c>
      <c r="C17" s="7" t="s">
        <v>88</v>
      </c>
      <c r="D17" s="7" t="s">
        <v>161</v>
      </c>
      <c r="E17" s="7" t="s">
        <v>66</v>
      </c>
      <c r="F17" s="7" t="s">
        <v>76</v>
      </c>
      <c r="G17" s="17" t="s">
        <v>118</v>
      </c>
      <c r="H17" s="17" t="s">
        <v>33</v>
      </c>
      <c r="I17" s="21" t="s">
        <v>27</v>
      </c>
      <c r="J17" s="17" t="s">
        <v>162</v>
      </c>
      <c r="K17" s="17" t="s">
        <v>163</v>
      </c>
      <c r="L17" s="17" t="s">
        <v>164</v>
      </c>
      <c r="M17" s="17" t="s">
        <v>165</v>
      </c>
      <c r="N17" s="19"/>
      <c r="O17" s="8"/>
    </row>
    <row r="18" customFormat="false" ht="23.25" hidden="false" customHeight="true" outlineLevel="0" collapsed="false">
      <c r="A18" s="7" t="s">
        <v>166</v>
      </c>
      <c r="B18" s="7" t="s">
        <v>101</v>
      </c>
      <c r="C18" s="7" t="s">
        <v>64</v>
      </c>
      <c r="D18" s="7" t="s">
        <v>167</v>
      </c>
      <c r="E18" s="7" t="s">
        <v>75</v>
      </c>
      <c r="F18" s="7" t="s">
        <v>76</v>
      </c>
      <c r="G18" s="17" t="s">
        <v>118</v>
      </c>
      <c r="H18" s="17" t="s">
        <v>33</v>
      </c>
      <c r="I18" s="21" t="s">
        <v>27</v>
      </c>
      <c r="J18" s="17" t="s">
        <v>78</v>
      </c>
      <c r="K18" s="17" t="s">
        <v>168</v>
      </c>
      <c r="L18" s="17" t="s">
        <v>164</v>
      </c>
      <c r="M18" s="17" t="s">
        <v>169</v>
      </c>
      <c r="N18" s="19"/>
      <c r="O18" s="8"/>
    </row>
    <row r="19" customFormat="false" ht="23.25" hidden="false" customHeight="true" outlineLevel="0" collapsed="false">
      <c r="A19" s="7" t="s">
        <v>170</v>
      </c>
      <c r="B19" s="7" t="s">
        <v>171</v>
      </c>
      <c r="C19" s="7" t="s">
        <v>64</v>
      </c>
      <c r="D19" s="7" t="s">
        <v>172</v>
      </c>
      <c r="E19" s="7" t="s">
        <v>75</v>
      </c>
      <c r="F19" s="7" t="s">
        <v>19</v>
      </c>
      <c r="G19" s="17" t="s">
        <v>118</v>
      </c>
      <c r="H19" s="17" t="s">
        <v>33</v>
      </c>
      <c r="I19" s="21" t="s">
        <v>27</v>
      </c>
      <c r="J19" s="17" t="s">
        <v>78</v>
      </c>
      <c r="K19" s="17" t="s">
        <v>173</v>
      </c>
      <c r="L19" s="17" t="s">
        <v>164</v>
      </c>
      <c r="M19" s="17" t="s">
        <v>174</v>
      </c>
      <c r="N19" s="19"/>
      <c r="O19" s="8"/>
    </row>
    <row r="20" customFormat="false" ht="34.5" hidden="false" customHeight="true" outlineLevel="0" collapsed="false">
      <c r="A20" s="7" t="s">
        <v>175</v>
      </c>
      <c r="B20" s="7" t="s">
        <v>176</v>
      </c>
      <c r="C20" s="7" t="s">
        <v>64</v>
      </c>
      <c r="D20" s="7" t="s">
        <v>177</v>
      </c>
      <c r="E20" s="7" t="s">
        <v>66</v>
      </c>
      <c r="F20" s="7" t="s">
        <v>76</v>
      </c>
      <c r="G20" s="17" t="s">
        <v>118</v>
      </c>
      <c r="H20" s="17" t="s">
        <v>34</v>
      </c>
      <c r="I20" s="20" t="s">
        <v>26</v>
      </c>
      <c r="J20" s="17" t="s">
        <v>178</v>
      </c>
      <c r="K20" s="17" t="s">
        <v>179</v>
      </c>
      <c r="L20" s="17" t="s">
        <v>180</v>
      </c>
      <c r="M20" s="17" t="s">
        <v>181</v>
      </c>
      <c r="N20" s="19"/>
      <c r="O20" s="8"/>
    </row>
    <row r="21" customFormat="false" ht="45.75" hidden="false" customHeight="true" outlineLevel="0" collapsed="false">
      <c r="A21" s="7" t="s">
        <v>182</v>
      </c>
      <c r="B21" s="7" t="s">
        <v>101</v>
      </c>
      <c r="C21" s="7" t="s">
        <v>64</v>
      </c>
      <c r="D21" s="7" t="s">
        <v>183</v>
      </c>
      <c r="E21" s="7" t="s">
        <v>66</v>
      </c>
      <c r="F21" s="7" t="s">
        <v>67</v>
      </c>
      <c r="G21" s="17" t="s">
        <v>118</v>
      </c>
      <c r="H21" s="17" t="s">
        <v>34</v>
      </c>
      <c r="I21" s="20" t="s">
        <v>26</v>
      </c>
      <c r="J21" s="17" t="s">
        <v>184</v>
      </c>
      <c r="K21" s="17" t="s">
        <v>185</v>
      </c>
      <c r="L21" s="17" t="s">
        <v>186</v>
      </c>
      <c r="M21" s="17" t="s">
        <v>187</v>
      </c>
      <c r="N21" s="19"/>
      <c r="O21" s="8"/>
    </row>
    <row r="22" customFormat="false" ht="57" hidden="false" customHeight="true" outlineLevel="0" collapsed="false">
      <c r="A22" s="7" t="s">
        <v>188</v>
      </c>
      <c r="B22" s="7" t="s">
        <v>189</v>
      </c>
      <c r="C22" s="7" t="s">
        <v>64</v>
      </c>
      <c r="D22" s="7" t="s">
        <v>190</v>
      </c>
      <c r="E22" s="7" t="s">
        <v>66</v>
      </c>
      <c r="F22" s="7" t="s">
        <v>20</v>
      </c>
      <c r="G22" s="17" t="s">
        <v>77</v>
      </c>
      <c r="H22" s="17" t="s">
        <v>34</v>
      </c>
      <c r="I22" s="20" t="s">
        <v>26</v>
      </c>
      <c r="J22" s="17" t="s">
        <v>191</v>
      </c>
      <c r="K22" s="17" t="s">
        <v>192</v>
      </c>
      <c r="L22" s="17" t="s">
        <v>193</v>
      </c>
      <c r="M22" s="17" t="s">
        <v>194</v>
      </c>
      <c r="N22" s="19"/>
      <c r="O22" s="8"/>
    </row>
    <row r="23" customFormat="false" ht="79.5" hidden="false" customHeight="true" outlineLevel="0" collapsed="false">
      <c r="A23" s="7" t="s">
        <v>195</v>
      </c>
      <c r="B23" s="7" t="s">
        <v>196</v>
      </c>
      <c r="C23" s="7" t="s">
        <v>88</v>
      </c>
      <c r="D23" s="7" t="s">
        <v>197</v>
      </c>
      <c r="E23" s="7" t="s">
        <v>66</v>
      </c>
      <c r="F23" s="7" t="s">
        <v>20</v>
      </c>
      <c r="G23" s="17" t="s">
        <v>77</v>
      </c>
      <c r="H23" s="17" t="s">
        <v>35</v>
      </c>
      <c r="I23" s="20" t="s">
        <v>26</v>
      </c>
      <c r="J23" s="17" t="s">
        <v>198</v>
      </c>
      <c r="K23" s="17" t="s">
        <v>199</v>
      </c>
      <c r="L23" s="17" t="s">
        <v>200</v>
      </c>
      <c r="M23" s="17" t="s">
        <v>201</v>
      </c>
      <c r="N23" s="19"/>
      <c r="O23" s="8"/>
    </row>
    <row r="24" customFormat="false" ht="57" hidden="false" customHeight="true" outlineLevel="0" collapsed="false">
      <c r="A24" s="7" t="s">
        <v>202</v>
      </c>
      <c r="B24" s="7" t="s">
        <v>148</v>
      </c>
      <c r="C24" s="7" t="s">
        <v>64</v>
      </c>
      <c r="D24" s="7" t="s">
        <v>203</v>
      </c>
      <c r="E24" s="7" t="s">
        <v>66</v>
      </c>
      <c r="F24" s="7" t="s">
        <v>19</v>
      </c>
      <c r="G24" s="17" t="s">
        <v>77</v>
      </c>
      <c r="H24" s="17" t="s">
        <v>35</v>
      </c>
      <c r="I24" s="20" t="s">
        <v>26</v>
      </c>
      <c r="J24" s="17" t="s">
        <v>204</v>
      </c>
      <c r="K24" s="17" t="s">
        <v>205</v>
      </c>
      <c r="L24" s="17" t="s">
        <v>206</v>
      </c>
      <c r="M24" s="17"/>
      <c r="N24" s="19"/>
      <c r="O24" s="8"/>
    </row>
    <row r="25" customFormat="false" ht="45.75" hidden="false" customHeight="true" outlineLevel="0" collapsed="false">
      <c r="A25" s="7" t="s">
        <v>207</v>
      </c>
      <c r="B25" s="7" t="s">
        <v>208</v>
      </c>
      <c r="C25" s="7" t="s">
        <v>64</v>
      </c>
      <c r="D25" s="7" t="s">
        <v>209</v>
      </c>
      <c r="E25" s="7" t="s">
        <v>75</v>
      </c>
      <c r="F25" s="7" t="s">
        <v>76</v>
      </c>
      <c r="G25" s="17" t="s">
        <v>118</v>
      </c>
      <c r="H25" s="17" t="s">
        <v>36</v>
      </c>
      <c r="I25" s="20" t="s">
        <v>26</v>
      </c>
      <c r="J25" s="17" t="s">
        <v>78</v>
      </c>
      <c r="K25" s="17" t="s">
        <v>210</v>
      </c>
      <c r="L25" s="17" t="s">
        <v>211</v>
      </c>
      <c r="M25" s="17"/>
      <c r="N25" s="19"/>
      <c r="O25" s="8"/>
    </row>
    <row r="26" customFormat="false" ht="34.5" hidden="false" customHeight="true" outlineLevel="0" collapsed="false">
      <c r="A26" s="7" t="s">
        <v>212</v>
      </c>
      <c r="B26" s="7" t="s">
        <v>189</v>
      </c>
      <c r="C26" s="7" t="s">
        <v>64</v>
      </c>
      <c r="D26" s="7" t="s">
        <v>213</v>
      </c>
      <c r="E26" s="7" t="s">
        <v>75</v>
      </c>
      <c r="F26" s="7" t="s">
        <v>19</v>
      </c>
      <c r="G26" s="17" t="s">
        <v>77</v>
      </c>
      <c r="H26" s="17" t="s">
        <v>37</v>
      </c>
      <c r="I26" s="20" t="s">
        <v>26</v>
      </c>
      <c r="J26" s="17" t="s">
        <v>78</v>
      </c>
      <c r="K26" s="17" t="s">
        <v>214</v>
      </c>
      <c r="L26" s="17" t="s">
        <v>215</v>
      </c>
      <c r="M26" s="17" t="s">
        <v>216</v>
      </c>
      <c r="N26" s="19"/>
      <c r="O26" s="8"/>
    </row>
    <row r="27" customFormat="false" ht="23.25" hidden="false" customHeight="true" outlineLevel="0" collapsed="false">
      <c r="A27" s="7" t="s">
        <v>217</v>
      </c>
      <c r="B27" s="7" t="s">
        <v>218</v>
      </c>
      <c r="C27" s="7" t="s">
        <v>64</v>
      </c>
      <c r="D27" s="7" t="s">
        <v>219</v>
      </c>
      <c r="E27" s="7" t="s">
        <v>75</v>
      </c>
      <c r="F27" s="7" t="s">
        <v>76</v>
      </c>
      <c r="G27" s="17" t="s">
        <v>77</v>
      </c>
      <c r="H27" s="17" t="s">
        <v>37</v>
      </c>
      <c r="I27" s="20" t="s">
        <v>26</v>
      </c>
      <c r="J27" s="17" t="s">
        <v>78</v>
      </c>
      <c r="K27" s="17" t="s">
        <v>220</v>
      </c>
      <c r="L27" s="17" t="s">
        <v>215</v>
      </c>
      <c r="M27" s="17" t="s">
        <v>216</v>
      </c>
      <c r="N27" s="19"/>
      <c r="O27" s="8"/>
    </row>
    <row r="28" customFormat="false" ht="23.25" hidden="false" customHeight="true" outlineLevel="0" collapsed="false">
      <c r="A28" s="7" t="s">
        <v>221</v>
      </c>
      <c r="B28" s="7" t="s">
        <v>73</v>
      </c>
      <c r="C28" s="7" t="s">
        <v>64</v>
      </c>
      <c r="D28" s="7" t="s">
        <v>74</v>
      </c>
      <c r="E28" s="7" t="s">
        <v>75</v>
      </c>
      <c r="F28" s="7" t="s">
        <v>19</v>
      </c>
      <c r="G28" s="17" t="s">
        <v>77</v>
      </c>
      <c r="H28" s="17" t="s">
        <v>37</v>
      </c>
      <c r="I28" s="20" t="s">
        <v>26</v>
      </c>
      <c r="J28" s="17" t="s">
        <v>78</v>
      </c>
      <c r="K28" s="17" t="s">
        <v>222</v>
      </c>
      <c r="L28" s="17" t="s">
        <v>215</v>
      </c>
      <c r="M28" s="17" t="s">
        <v>216</v>
      </c>
      <c r="N28" s="19"/>
      <c r="O28" s="8"/>
    </row>
    <row r="29" customFormat="false" ht="23.25" hidden="false" customHeight="true" outlineLevel="0" collapsed="false">
      <c r="A29" s="7" t="s">
        <v>223</v>
      </c>
      <c r="B29" s="7" t="s">
        <v>224</v>
      </c>
      <c r="C29" s="7" t="s">
        <v>64</v>
      </c>
      <c r="D29" s="7" t="s">
        <v>225</v>
      </c>
      <c r="E29" s="7" t="s">
        <v>75</v>
      </c>
      <c r="F29" s="7" t="s">
        <v>19</v>
      </c>
      <c r="G29" s="17" t="s">
        <v>77</v>
      </c>
      <c r="H29" s="17" t="s">
        <v>37</v>
      </c>
      <c r="I29" s="20" t="s">
        <v>26</v>
      </c>
      <c r="J29" s="17" t="s">
        <v>78</v>
      </c>
      <c r="K29" s="17" t="s">
        <v>226</v>
      </c>
      <c r="L29" s="17" t="s">
        <v>215</v>
      </c>
      <c r="M29" s="17" t="s">
        <v>216</v>
      </c>
      <c r="N29" s="19"/>
      <c r="O29" s="8"/>
    </row>
    <row r="30" customFormat="false" ht="23.25" hidden="false" customHeight="true" outlineLevel="0" collapsed="false">
      <c r="A30" s="7" t="s">
        <v>227</v>
      </c>
      <c r="B30" s="7" t="s">
        <v>228</v>
      </c>
      <c r="C30" s="7" t="s">
        <v>64</v>
      </c>
      <c r="D30" s="7" t="s">
        <v>229</v>
      </c>
      <c r="E30" s="7" t="s">
        <v>75</v>
      </c>
      <c r="F30" s="7" t="s">
        <v>19</v>
      </c>
      <c r="G30" s="17" t="s">
        <v>77</v>
      </c>
      <c r="H30" s="17" t="s">
        <v>37</v>
      </c>
      <c r="I30" s="20" t="s">
        <v>26</v>
      </c>
      <c r="J30" s="17" t="s">
        <v>78</v>
      </c>
      <c r="K30" s="17" t="s">
        <v>230</v>
      </c>
      <c r="L30" s="17" t="s">
        <v>215</v>
      </c>
      <c r="M30" s="17" t="s">
        <v>216</v>
      </c>
      <c r="N30" s="19"/>
      <c r="O30" s="8"/>
    </row>
    <row r="31" customFormat="false" ht="23.25" hidden="false" customHeight="true" outlineLevel="0" collapsed="false">
      <c r="A31" s="7" t="s">
        <v>231</v>
      </c>
      <c r="B31" s="7" t="s">
        <v>228</v>
      </c>
      <c r="C31" s="7" t="s">
        <v>64</v>
      </c>
      <c r="D31" s="7" t="s">
        <v>142</v>
      </c>
      <c r="E31" s="7" t="s">
        <v>75</v>
      </c>
      <c r="F31" s="7" t="s">
        <v>19</v>
      </c>
      <c r="G31" s="17" t="s">
        <v>77</v>
      </c>
      <c r="H31" s="17" t="s">
        <v>37</v>
      </c>
      <c r="I31" s="20" t="s">
        <v>26</v>
      </c>
      <c r="J31" s="17" t="s">
        <v>78</v>
      </c>
      <c r="K31" s="17" t="s">
        <v>232</v>
      </c>
      <c r="L31" s="17" t="s">
        <v>215</v>
      </c>
      <c r="M31" s="17" t="s">
        <v>216</v>
      </c>
      <c r="N31" s="19"/>
      <c r="O31" s="8"/>
    </row>
    <row r="32" customFormat="false" ht="23.25" hidden="false" customHeight="true" outlineLevel="0" collapsed="false">
      <c r="A32" s="7" t="s">
        <v>233</v>
      </c>
      <c r="B32" s="7" t="s">
        <v>196</v>
      </c>
      <c r="C32" s="7" t="s">
        <v>64</v>
      </c>
      <c r="D32" s="7" t="s">
        <v>229</v>
      </c>
      <c r="E32" s="7" t="s">
        <v>75</v>
      </c>
      <c r="F32" s="7" t="s">
        <v>19</v>
      </c>
      <c r="G32" s="17" t="s">
        <v>77</v>
      </c>
      <c r="H32" s="17" t="s">
        <v>37</v>
      </c>
      <c r="I32" s="20" t="s">
        <v>26</v>
      </c>
      <c r="J32" s="17" t="s">
        <v>78</v>
      </c>
      <c r="K32" s="17" t="s">
        <v>234</v>
      </c>
      <c r="L32" s="17" t="s">
        <v>215</v>
      </c>
      <c r="M32" s="17" t="s">
        <v>216</v>
      </c>
      <c r="N32" s="19"/>
      <c r="O32" s="8"/>
    </row>
    <row r="33" customFormat="false" ht="23.25" hidden="false" customHeight="true" outlineLevel="0" collapsed="false">
      <c r="A33" s="7" t="s">
        <v>235</v>
      </c>
      <c r="B33" s="7" t="s">
        <v>176</v>
      </c>
      <c r="C33" s="7" t="s">
        <v>64</v>
      </c>
      <c r="D33" s="7" t="s">
        <v>177</v>
      </c>
      <c r="E33" s="7" t="s">
        <v>75</v>
      </c>
      <c r="F33" s="7" t="s">
        <v>19</v>
      </c>
      <c r="G33" s="17" t="s">
        <v>77</v>
      </c>
      <c r="H33" s="17" t="s">
        <v>37</v>
      </c>
      <c r="I33" s="20" t="s">
        <v>26</v>
      </c>
      <c r="J33" s="17" t="s">
        <v>78</v>
      </c>
      <c r="K33" s="17" t="s">
        <v>236</v>
      </c>
      <c r="L33" s="17" t="s">
        <v>215</v>
      </c>
      <c r="M33" s="17" t="s">
        <v>216</v>
      </c>
      <c r="N33" s="19"/>
      <c r="O33" s="8"/>
    </row>
    <row r="34" customFormat="false" ht="23.25" hidden="false" customHeight="true" outlineLevel="0" collapsed="false">
      <c r="A34" s="7" t="s">
        <v>237</v>
      </c>
      <c r="B34" s="7" t="s">
        <v>176</v>
      </c>
      <c r="C34" s="7" t="s">
        <v>64</v>
      </c>
      <c r="D34" s="7" t="s">
        <v>238</v>
      </c>
      <c r="E34" s="7" t="s">
        <v>66</v>
      </c>
      <c r="F34" s="7" t="s">
        <v>19</v>
      </c>
      <c r="G34" s="17" t="s">
        <v>77</v>
      </c>
      <c r="H34" s="17" t="s">
        <v>37</v>
      </c>
      <c r="I34" s="20" t="s">
        <v>26</v>
      </c>
      <c r="J34" s="17" t="s">
        <v>78</v>
      </c>
      <c r="K34" s="17" t="s">
        <v>239</v>
      </c>
      <c r="L34" s="17" t="s">
        <v>215</v>
      </c>
      <c r="M34" s="17" t="s">
        <v>216</v>
      </c>
      <c r="N34" s="19"/>
      <c r="O34" s="8"/>
    </row>
    <row r="35" customFormat="false" ht="68.25" hidden="false" customHeight="true" outlineLevel="0" collapsed="false">
      <c r="A35" s="7" t="s">
        <v>240</v>
      </c>
      <c r="B35" s="7" t="s">
        <v>63</v>
      </c>
      <c r="C35" s="7" t="s">
        <v>64</v>
      </c>
      <c r="D35" s="7" t="s">
        <v>241</v>
      </c>
      <c r="E35" s="7" t="s">
        <v>66</v>
      </c>
      <c r="F35" s="7" t="s">
        <v>19</v>
      </c>
      <c r="G35" s="17" t="s">
        <v>77</v>
      </c>
      <c r="H35" s="17" t="s">
        <v>37</v>
      </c>
      <c r="I35" s="20" t="s">
        <v>26</v>
      </c>
      <c r="J35" s="17" t="s">
        <v>242</v>
      </c>
      <c r="K35" s="17" t="s">
        <v>243</v>
      </c>
      <c r="L35" s="17" t="s">
        <v>244</v>
      </c>
      <c r="M35" s="17"/>
      <c r="N35" s="19"/>
      <c r="O35" s="8"/>
    </row>
    <row r="36" customFormat="false" ht="68.25" hidden="false" customHeight="true" outlineLevel="0" collapsed="false">
      <c r="A36" s="7" t="s">
        <v>245</v>
      </c>
      <c r="B36" s="7" t="s">
        <v>73</v>
      </c>
      <c r="C36" s="7" t="s">
        <v>64</v>
      </c>
      <c r="D36" s="7" t="s">
        <v>246</v>
      </c>
      <c r="E36" s="7" t="s">
        <v>66</v>
      </c>
      <c r="F36" s="7" t="s">
        <v>19</v>
      </c>
      <c r="G36" s="17" t="s">
        <v>77</v>
      </c>
      <c r="H36" s="17" t="s">
        <v>37</v>
      </c>
      <c r="I36" s="20" t="s">
        <v>26</v>
      </c>
      <c r="J36" s="17" t="s">
        <v>247</v>
      </c>
      <c r="K36" s="17" t="s">
        <v>248</v>
      </c>
      <c r="L36" s="17" t="s">
        <v>249</v>
      </c>
      <c r="M36" s="17"/>
      <c r="N36" s="19"/>
      <c r="O36" s="8"/>
    </row>
    <row r="37" customFormat="false" ht="23.25" hidden="false" customHeight="true" outlineLevel="0" collapsed="false">
      <c r="A37" s="7" t="s">
        <v>250</v>
      </c>
      <c r="B37" s="7" t="s">
        <v>107</v>
      </c>
      <c r="C37" s="7" t="s">
        <v>64</v>
      </c>
      <c r="D37" s="7" t="s">
        <v>108</v>
      </c>
      <c r="E37" s="7" t="s">
        <v>75</v>
      </c>
      <c r="F37" s="7" t="s">
        <v>19</v>
      </c>
      <c r="G37" s="17" t="s">
        <v>68</v>
      </c>
      <c r="H37" s="17" t="s">
        <v>37</v>
      </c>
      <c r="I37" s="18" t="s">
        <v>25</v>
      </c>
      <c r="J37" s="17" t="s">
        <v>78</v>
      </c>
      <c r="K37" s="17" t="s">
        <v>251</v>
      </c>
      <c r="L37" s="17" t="s">
        <v>77</v>
      </c>
      <c r="M37" s="17" t="s">
        <v>252</v>
      </c>
      <c r="N37" s="19"/>
      <c r="O37" s="8"/>
    </row>
    <row r="38" customFormat="false" ht="34.5" hidden="false" customHeight="true" outlineLevel="0" collapsed="false">
      <c r="A38" s="7" t="s">
        <v>253</v>
      </c>
      <c r="B38" s="7" t="s">
        <v>101</v>
      </c>
      <c r="C38" s="7" t="s">
        <v>64</v>
      </c>
      <c r="D38" s="7" t="s">
        <v>167</v>
      </c>
      <c r="E38" s="7" t="s">
        <v>75</v>
      </c>
      <c r="F38" s="7" t="s">
        <v>19</v>
      </c>
      <c r="G38" s="17" t="s">
        <v>68</v>
      </c>
      <c r="H38" s="17" t="s">
        <v>37</v>
      </c>
      <c r="I38" s="20" t="s">
        <v>26</v>
      </c>
      <c r="J38" s="17" t="s">
        <v>78</v>
      </c>
      <c r="K38" s="17" t="s">
        <v>254</v>
      </c>
      <c r="L38" s="17" t="s">
        <v>255</v>
      </c>
      <c r="M38" s="17" t="s">
        <v>256</v>
      </c>
      <c r="N38" s="19"/>
      <c r="O38" s="8"/>
    </row>
    <row r="39" customFormat="false" ht="34.5" hidden="false" customHeight="true" outlineLevel="0" collapsed="false">
      <c r="A39" s="7" t="s">
        <v>257</v>
      </c>
      <c r="B39" s="7" t="s">
        <v>171</v>
      </c>
      <c r="C39" s="7" t="s">
        <v>64</v>
      </c>
      <c r="D39" s="7" t="s">
        <v>167</v>
      </c>
      <c r="E39" s="7" t="s">
        <v>75</v>
      </c>
      <c r="F39" s="7" t="s">
        <v>76</v>
      </c>
      <c r="G39" s="17" t="s">
        <v>68</v>
      </c>
      <c r="H39" s="17" t="s">
        <v>37</v>
      </c>
      <c r="I39" s="20" t="s">
        <v>26</v>
      </c>
      <c r="J39" s="17" t="s">
        <v>78</v>
      </c>
      <c r="K39" s="17" t="s">
        <v>258</v>
      </c>
      <c r="L39" s="17" t="s">
        <v>255</v>
      </c>
      <c r="M39" s="17" t="s">
        <v>256</v>
      </c>
      <c r="N39" s="19"/>
      <c r="O39" s="8"/>
    </row>
    <row r="40" customFormat="false" ht="34.5" hidden="false" customHeight="true" outlineLevel="0" collapsed="false">
      <c r="A40" s="7" t="s">
        <v>259</v>
      </c>
      <c r="B40" s="7" t="s">
        <v>171</v>
      </c>
      <c r="C40" s="7" t="s">
        <v>64</v>
      </c>
      <c r="D40" s="7" t="s">
        <v>177</v>
      </c>
      <c r="E40" s="7" t="s">
        <v>66</v>
      </c>
      <c r="F40" s="7" t="s">
        <v>76</v>
      </c>
      <c r="G40" s="17" t="s">
        <v>68</v>
      </c>
      <c r="H40" s="17" t="s">
        <v>37</v>
      </c>
      <c r="I40" s="20" t="s">
        <v>26</v>
      </c>
      <c r="J40" s="17" t="s">
        <v>78</v>
      </c>
      <c r="K40" s="17" t="s">
        <v>260</v>
      </c>
      <c r="L40" s="17" t="s">
        <v>255</v>
      </c>
      <c r="M40" s="17" t="s">
        <v>256</v>
      </c>
      <c r="N40" s="19"/>
      <c r="O40" s="8"/>
    </row>
    <row r="41" customFormat="false" ht="34.5" hidden="false" customHeight="true" outlineLevel="0" collapsed="false">
      <c r="A41" s="7" t="s">
        <v>261</v>
      </c>
      <c r="B41" s="7" t="s">
        <v>262</v>
      </c>
      <c r="C41" s="7" t="s">
        <v>64</v>
      </c>
      <c r="D41" s="7" t="s">
        <v>172</v>
      </c>
      <c r="E41" s="7" t="s">
        <v>75</v>
      </c>
      <c r="F41" s="7" t="s">
        <v>76</v>
      </c>
      <c r="G41" s="17" t="s">
        <v>68</v>
      </c>
      <c r="H41" s="17" t="s">
        <v>37</v>
      </c>
      <c r="I41" s="20" t="s">
        <v>26</v>
      </c>
      <c r="J41" s="17" t="s">
        <v>78</v>
      </c>
      <c r="K41" s="17" t="s">
        <v>263</v>
      </c>
      <c r="L41" s="17" t="s">
        <v>255</v>
      </c>
      <c r="M41" s="17" t="s">
        <v>256</v>
      </c>
      <c r="N41" s="19"/>
      <c r="O41" s="8"/>
    </row>
    <row r="42" customFormat="false" ht="23.25" hidden="false" customHeight="true" outlineLevel="0" collapsed="false">
      <c r="A42" s="7" t="s">
        <v>264</v>
      </c>
      <c r="B42" s="7" t="s">
        <v>265</v>
      </c>
      <c r="C42" s="7" t="s">
        <v>64</v>
      </c>
      <c r="D42" s="7" t="s">
        <v>266</v>
      </c>
      <c r="E42" s="7" t="s">
        <v>75</v>
      </c>
      <c r="F42" s="7" t="s">
        <v>20</v>
      </c>
      <c r="G42" s="17" t="s">
        <v>77</v>
      </c>
      <c r="H42" s="17" t="s">
        <v>38</v>
      </c>
      <c r="I42" s="18" t="s">
        <v>25</v>
      </c>
      <c r="J42" s="17" t="s">
        <v>78</v>
      </c>
      <c r="K42" s="17" t="s">
        <v>267</v>
      </c>
      <c r="L42" s="17" t="s">
        <v>268</v>
      </c>
      <c r="M42" s="17" t="s">
        <v>269</v>
      </c>
      <c r="N42" s="19"/>
      <c r="O42" s="8"/>
    </row>
    <row r="43" customFormat="false" ht="57" hidden="false" customHeight="true" outlineLevel="0" collapsed="false">
      <c r="A43" s="7" t="s">
        <v>270</v>
      </c>
      <c r="B43" s="7" t="s">
        <v>154</v>
      </c>
      <c r="C43" s="7" t="s">
        <v>64</v>
      </c>
      <c r="D43" s="7" t="s">
        <v>271</v>
      </c>
      <c r="E43" s="7" t="s">
        <v>66</v>
      </c>
      <c r="F43" s="7" t="s">
        <v>19</v>
      </c>
      <c r="G43" s="17" t="s">
        <v>77</v>
      </c>
      <c r="H43" s="17" t="s">
        <v>38</v>
      </c>
      <c r="I43" s="18" t="s">
        <v>25</v>
      </c>
      <c r="J43" s="17" t="s">
        <v>272</v>
      </c>
      <c r="K43" s="17" t="s">
        <v>273</v>
      </c>
      <c r="L43" s="17" t="s">
        <v>268</v>
      </c>
      <c r="M43" s="17" t="s">
        <v>274</v>
      </c>
      <c r="N43" s="19"/>
      <c r="O43" s="8"/>
    </row>
    <row r="44" customFormat="false" ht="23.25" hidden="false" customHeight="true" outlineLevel="0" collapsed="false">
      <c r="A44" s="7" t="s">
        <v>275</v>
      </c>
      <c r="B44" s="7" t="s">
        <v>122</v>
      </c>
      <c r="C44" s="7" t="s">
        <v>64</v>
      </c>
      <c r="D44" s="7" t="s">
        <v>276</v>
      </c>
      <c r="E44" s="7" t="s">
        <v>66</v>
      </c>
      <c r="F44" s="7" t="s">
        <v>20</v>
      </c>
      <c r="G44" s="17" t="s">
        <v>77</v>
      </c>
      <c r="H44" s="17" t="s">
        <v>38</v>
      </c>
      <c r="I44" s="18" t="s">
        <v>25</v>
      </c>
      <c r="J44" s="17" t="s">
        <v>277</v>
      </c>
      <c r="K44" s="17" t="s">
        <v>278</v>
      </c>
      <c r="L44" s="17" t="s">
        <v>268</v>
      </c>
      <c r="M44" s="17" t="s">
        <v>279</v>
      </c>
      <c r="N44" s="19"/>
      <c r="O44" s="8"/>
    </row>
    <row r="45" customFormat="false" ht="57" hidden="false" customHeight="true" outlineLevel="0" collapsed="false">
      <c r="A45" s="7" t="s">
        <v>280</v>
      </c>
      <c r="B45" s="7" t="s">
        <v>63</v>
      </c>
      <c r="C45" s="7" t="s">
        <v>64</v>
      </c>
      <c r="D45" s="7" t="s">
        <v>74</v>
      </c>
      <c r="E45" s="7" t="s">
        <v>66</v>
      </c>
      <c r="F45" s="7" t="s">
        <v>76</v>
      </c>
      <c r="G45" s="17" t="s">
        <v>77</v>
      </c>
      <c r="H45" s="17" t="s">
        <v>38</v>
      </c>
      <c r="I45" s="20" t="s">
        <v>26</v>
      </c>
      <c r="J45" s="17" t="s">
        <v>281</v>
      </c>
      <c r="K45" s="17" t="s">
        <v>282</v>
      </c>
      <c r="L45" s="17" t="s">
        <v>283</v>
      </c>
      <c r="M45" s="17" t="s">
        <v>284</v>
      </c>
      <c r="N45" s="19"/>
      <c r="O45" s="8"/>
    </row>
    <row r="46" customFormat="false" ht="57" hidden="false" customHeight="true" outlineLevel="0" collapsed="false">
      <c r="A46" s="7" t="s">
        <v>285</v>
      </c>
      <c r="B46" s="7" t="s">
        <v>116</v>
      </c>
      <c r="C46" s="7" t="s">
        <v>64</v>
      </c>
      <c r="D46" s="7" t="s">
        <v>286</v>
      </c>
      <c r="E46" s="7" t="s">
        <v>66</v>
      </c>
      <c r="F46" s="7" t="s">
        <v>19</v>
      </c>
      <c r="G46" s="17" t="s">
        <v>77</v>
      </c>
      <c r="H46" s="17" t="s">
        <v>38</v>
      </c>
      <c r="I46" s="20" t="s">
        <v>26</v>
      </c>
      <c r="J46" s="17" t="s">
        <v>287</v>
      </c>
      <c r="K46" s="17" t="s">
        <v>288</v>
      </c>
      <c r="L46" s="17" t="s">
        <v>283</v>
      </c>
      <c r="M46" s="17" t="s">
        <v>284</v>
      </c>
      <c r="N46" s="19"/>
      <c r="O46" s="8"/>
    </row>
    <row r="47" customFormat="false" ht="57" hidden="false" customHeight="true" outlineLevel="0" collapsed="false">
      <c r="A47" s="7" t="s">
        <v>289</v>
      </c>
      <c r="B47" s="7" t="s">
        <v>116</v>
      </c>
      <c r="C47" s="7" t="s">
        <v>88</v>
      </c>
      <c r="D47" s="7" t="s">
        <v>290</v>
      </c>
      <c r="E47" s="7" t="s">
        <v>66</v>
      </c>
      <c r="F47" s="7" t="s">
        <v>76</v>
      </c>
      <c r="G47" s="17" t="s">
        <v>77</v>
      </c>
      <c r="H47" s="17" t="s">
        <v>39</v>
      </c>
      <c r="I47" s="18" t="s">
        <v>25</v>
      </c>
      <c r="J47" s="17" t="s">
        <v>291</v>
      </c>
      <c r="K47" s="17" t="s">
        <v>292</v>
      </c>
      <c r="L47" s="17" t="s">
        <v>293</v>
      </c>
      <c r="M47" s="17" t="s">
        <v>294</v>
      </c>
      <c r="N47" s="19"/>
      <c r="O47" s="8"/>
    </row>
  </sheetData>
  <autoFilter ref="A1:O47"/>
  <dataValidations count="1">
    <dataValidation allowBlank="true" errorStyle="stop" operator="between" showDropDown="false" showErrorMessage="false" showInputMessage="false" sqref="O2:O47" type="list">
      <formula1>"Corrigé,Confirmé tel quel,À discuter"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9"/>
    <col collapsed="false" customWidth="true" hidden="false" outlineLevel="0" max="4" min="4" style="1" width="16"/>
    <col collapsed="false" customWidth="true" hidden="false" outlineLevel="0" max="5" min="5" style="1" width="22"/>
    <col collapsed="false" customWidth="true" hidden="false" outlineLevel="0" max="6" min="6" style="1" width="90"/>
  </cols>
  <sheetData>
    <row r="1" customFormat="false" ht="30" hidden="false" customHeight="true" outlineLevel="0" collapsed="false">
      <c r="A1" s="22" t="s">
        <v>295</v>
      </c>
    </row>
    <row r="3" customFormat="false" ht="23.25" hidden="false" customHeight="true" outlineLevel="0" collapsed="false">
      <c r="A3" s="6" t="s">
        <v>13</v>
      </c>
      <c r="B3" s="6" t="s">
        <v>53</v>
      </c>
      <c r="C3" s="6" t="s">
        <v>54</v>
      </c>
      <c r="D3" s="6" t="s">
        <v>14</v>
      </c>
      <c r="E3" s="6" t="s">
        <v>57</v>
      </c>
      <c r="F3" s="6" t="s">
        <v>296</v>
      </c>
    </row>
    <row r="4" customFormat="false" ht="15" hidden="false" customHeight="true" outlineLevel="0" collapsed="false">
      <c r="A4" s="7" t="s">
        <v>72</v>
      </c>
      <c r="B4" s="7" t="s">
        <v>73</v>
      </c>
      <c r="C4" s="7" t="s">
        <v>64</v>
      </c>
      <c r="D4" s="7" t="s">
        <v>76</v>
      </c>
      <c r="E4" s="7" t="s">
        <v>77</v>
      </c>
      <c r="F4" s="17" t="s">
        <v>79</v>
      </c>
    </row>
    <row r="5" customFormat="false" ht="15" hidden="false" customHeight="true" outlineLevel="0" collapsed="false">
      <c r="A5" s="7" t="s">
        <v>81</v>
      </c>
      <c r="B5" s="7" t="s">
        <v>73</v>
      </c>
      <c r="C5" s="7" t="s">
        <v>82</v>
      </c>
      <c r="D5" s="7" t="s">
        <v>76</v>
      </c>
      <c r="E5" s="7" t="s">
        <v>77</v>
      </c>
      <c r="F5" s="17" t="s">
        <v>85</v>
      </c>
    </row>
    <row r="6" customFormat="false" ht="15" hidden="false" customHeight="true" outlineLevel="0" collapsed="false">
      <c r="A6" s="7" t="s">
        <v>297</v>
      </c>
      <c r="B6" s="7" t="s">
        <v>63</v>
      </c>
      <c r="C6" s="7" t="s">
        <v>64</v>
      </c>
      <c r="D6" s="7" t="s">
        <v>90</v>
      </c>
      <c r="E6" s="7" t="s">
        <v>77</v>
      </c>
      <c r="F6" s="17" t="s">
        <v>298</v>
      </c>
    </row>
    <row r="7" customFormat="false" ht="15" hidden="false" customHeight="true" outlineLevel="0" collapsed="false">
      <c r="A7" s="7" t="s">
        <v>299</v>
      </c>
      <c r="B7" s="7" t="s">
        <v>73</v>
      </c>
      <c r="C7" s="7" t="s">
        <v>82</v>
      </c>
      <c r="D7" s="7" t="s">
        <v>90</v>
      </c>
      <c r="E7" s="7" t="s">
        <v>77</v>
      </c>
      <c r="F7" s="17" t="s">
        <v>300</v>
      </c>
    </row>
    <row r="8" customFormat="false" ht="15" hidden="false" customHeight="true" outlineLevel="0" collapsed="false">
      <c r="A8" s="7" t="s">
        <v>301</v>
      </c>
      <c r="B8" s="7" t="s">
        <v>265</v>
      </c>
      <c r="C8" s="7" t="s">
        <v>82</v>
      </c>
      <c r="D8" s="7" t="s">
        <v>90</v>
      </c>
      <c r="E8" s="7" t="s">
        <v>77</v>
      </c>
      <c r="F8" s="17" t="s">
        <v>302</v>
      </c>
    </row>
    <row r="9" customFormat="false" ht="15" hidden="false" customHeight="true" outlineLevel="0" collapsed="false">
      <c r="A9" s="7" t="s">
        <v>303</v>
      </c>
      <c r="B9" s="7" t="s">
        <v>154</v>
      </c>
      <c r="C9" s="7" t="s">
        <v>88</v>
      </c>
      <c r="D9" s="7" t="s">
        <v>90</v>
      </c>
      <c r="E9" s="7" t="s">
        <v>77</v>
      </c>
      <c r="F9" s="17" t="s">
        <v>304</v>
      </c>
    </row>
    <row r="10" customFormat="false" ht="23.25" hidden="false" customHeight="true" outlineLevel="0" collapsed="false">
      <c r="A10" s="7" t="s">
        <v>305</v>
      </c>
      <c r="B10" s="7" t="s">
        <v>154</v>
      </c>
      <c r="C10" s="7" t="s">
        <v>82</v>
      </c>
      <c r="D10" s="7" t="s">
        <v>90</v>
      </c>
      <c r="E10" s="7" t="s">
        <v>77</v>
      </c>
      <c r="F10" s="17" t="s">
        <v>306</v>
      </c>
    </row>
    <row r="11" customFormat="false" ht="15" hidden="false" customHeight="true" outlineLevel="0" collapsed="false">
      <c r="A11" s="7" t="s">
        <v>307</v>
      </c>
      <c r="B11" s="7" t="s">
        <v>228</v>
      </c>
      <c r="C11" s="7" t="s">
        <v>64</v>
      </c>
      <c r="D11" s="7" t="s">
        <v>90</v>
      </c>
      <c r="E11" s="7" t="s">
        <v>77</v>
      </c>
      <c r="F11" s="17" t="s">
        <v>308</v>
      </c>
    </row>
    <row r="12" customFormat="false" ht="34.5" hidden="false" customHeight="true" outlineLevel="0" collapsed="false">
      <c r="A12" s="7" t="s">
        <v>309</v>
      </c>
      <c r="B12" s="7" t="s">
        <v>228</v>
      </c>
      <c r="C12" s="7" t="s">
        <v>82</v>
      </c>
      <c r="D12" s="7" t="s">
        <v>90</v>
      </c>
      <c r="E12" s="7" t="s">
        <v>77</v>
      </c>
      <c r="F12" s="17" t="s">
        <v>310</v>
      </c>
    </row>
    <row r="13" customFormat="false" ht="15" hidden="false" customHeight="true" outlineLevel="0" collapsed="false">
      <c r="A13" s="7" t="s">
        <v>311</v>
      </c>
      <c r="B13" s="7" t="s">
        <v>133</v>
      </c>
      <c r="C13" s="7" t="s">
        <v>64</v>
      </c>
      <c r="D13" s="7" t="s">
        <v>90</v>
      </c>
      <c r="E13" s="7" t="s">
        <v>77</v>
      </c>
      <c r="F13" s="17" t="s">
        <v>312</v>
      </c>
    </row>
    <row r="14" customFormat="false" ht="15" hidden="false" customHeight="true" outlineLevel="0" collapsed="false">
      <c r="A14" s="7" t="s">
        <v>313</v>
      </c>
      <c r="B14" s="7" t="s">
        <v>141</v>
      </c>
      <c r="C14" s="7" t="s">
        <v>88</v>
      </c>
      <c r="D14" s="7" t="s">
        <v>90</v>
      </c>
      <c r="E14" s="7" t="s">
        <v>77</v>
      </c>
      <c r="F14" s="17" t="s">
        <v>314</v>
      </c>
    </row>
    <row r="15" customFormat="false" ht="15" hidden="false" customHeight="true" outlineLevel="0" collapsed="false">
      <c r="A15" s="7" t="s">
        <v>315</v>
      </c>
      <c r="B15" s="7" t="s">
        <v>316</v>
      </c>
      <c r="C15" s="7" t="s">
        <v>82</v>
      </c>
      <c r="D15" s="7" t="s">
        <v>90</v>
      </c>
      <c r="E15" s="7" t="s">
        <v>77</v>
      </c>
      <c r="F15" s="17" t="s">
        <v>317</v>
      </c>
    </row>
    <row r="16" customFormat="false" ht="15" hidden="false" customHeight="true" outlineLevel="0" collapsed="false">
      <c r="A16" s="7" t="s">
        <v>318</v>
      </c>
      <c r="B16" s="7" t="s">
        <v>316</v>
      </c>
      <c r="C16" s="7" t="s">
        <v>82</v>
      </c>
      <c r="D16" s="7" t="s">
        <v>90</v>
      </c>
      <c r="E16" s="7" t="s">
        <v>77</v>
      </c>
      <c r="F16" s="17" t="s">
        <v>319</v>
      </c>
    </row>
    <row r="17" customFormat="false" ht="15" hidden="false" customHeight="true" outlineLevel="0" collapsed="false">
      <c r="A17" s="7" t="s">
        <v>320</v>
      </c>
      <c r="B17" s="7" t="s">
        <v>316</v>
      </c>
      <c r="C17" s="7" t="s">
        <v>64</v>
      </c>
      <c r="D17" s="7" t="s">
        <v>90</v>
      </c>
      <c r="E17" s="7" t="s">
        <v>77</v>
      </c>
      <c r="F17" s="17" t="s">
        <v>321</v>
      </c>
    </row>
    <row r="18" customFormat="false" ht="23.25" hidden="false" customHeight="true" outlineLevel="0" collapsed="false">
      <c r="A18" s="7" t="s">
        <v>322</v>
      </c>
      <c r="B18" s="7" t="s">
        <v>148</v>
      </c>
      <c r="C18" s="7" t="s">
        <v>64</v>
      </c>
      <c r="D18" s="7" t="s">
        <v>90</v>
      </c>
      <c r="E18" s="7" t="s">
        <v>77</v>
      </c>
      <c r="F18" s="17" t="s">
        <v>323</v>
      </c>
    </row>
    <row r="19" customFormat="false" ht="15" hidden="false" customHeight="true" outlineLevel="0" collapsed="false">
      <c r="A19" s="7" t="s">
        <v>324</v>
      </c>
      <c r="B19" s="7" t="s">
        <v>325</v>
      </c>
      <c r="C19" s="7" t="s">
        <v>64</v>
      </c>
      <c r="D19" s="7" t="s">
        <v>90</v>
      </c>
      <c r="E19" s="7" t="s">
        <v>77</v>
      </c>
      <c r="F19" s="17" t="s">
        <v>326</v>
      </c>
    </row>
    <row r="20" customFormat="false" ht="15" hidden="false" customHeight="true" outlineLevel="0" collapsed="false">
      <c r="A20" s="7" t="s">
        <v>327</v>
      </c>
      <c r="B20" s="7" t="s">
        <v>116</v>
      </c>
      <c r="C20" s="7" t="s">
        <v>64</v>
      </c>
      <c r="D20" s="7" t="s">
        <v>90</v>
      </c>
      <c r="E20" s="7" t="s">
        <v>77</v>
      </c>
      <c r="F20" s="17" t="s">
        <v>328</v>
      </c>
    </row>
    <row r="21" customFormat="false" ht="15" hidden="false" customHeight="true" outlineLevel="0" collapsed="false">
      <c r="A21" s="7" t="s">
        <v>329</v>
      </c>
      <c r="B21" s="7" t="s">
        <v>330</v>
      </c>
      <c r="C21" s="7" t="s">
        <v>64</v>
      </c>
      <c r="D21" s="7" t="s">
        <v>90</v>
      </c>
      <c r="E21" s="7" t="s">
        <v>77</v>
      </c>
      <c r="F21" s="17" t="s">
        <v>331</v>
      </c>
    </row>
    <row r="22" customFormat="false" ht="15" hidden="false" customHeight="true" outlineLevel="0" collapsed="false">
      <c r="A22" s="7" t="s">
        <v>332</v>
      </c>
      <c r="B22" s="7" t="s">
        <v>122</v>
      </c>
      <c r="C22" s="7" t="s">
        <v>88</v>
      </c>
      <c r="D22" s="7" t="s">
        <v>90</v>
      </c>
      <c r="E22" s="7" t="s">
        <v>77</v>
      </c>
      <c r="F22" s="17" t="s">
        <v>333</v>
      </c>
    </row>
    <row r="23" customFormat="false" ht="15" hidden="false" customHeight="true" outlineLevel="0" collapsed="false">
      <c r="A23" s="7" t="s">
        <v>334</v>
      </c>
      <c r="B23" s="7" t="s">
        <v>208</v>
      </c>
      <c r="C23" s="7" t="s">
        <v>64</v>
      </c>
      <c r="D23" s="7" t="s">
        <v>90</v>
      </c>
      <c r="E23" s="7" t="s">
        <v>77</v>
      </c>
      <c r="F23" s="17" t="s">
        <v>335</v>
      </c>
    </row>
    <row r="24" customFormat="false" ht="15" hidden="false" customHeight="true" outlineLevel="0" collapsed="false">
      <c r="A24" s="7" t="s">
        <v>336</v>
      </c>
      <c r="B24" s="7" t="s">
        <v>176</v>
      </c>
      <c r="C24" s="7" t="s">
        <v>64</v>
      </c>
      <c r="D24" s="7" t="s">
        <v>90</v>
      </c>
      <c r="E24" s="7" t="s">
        <v>77</v>
      </c>
      <c r="F24" s="17" t="s">
        <v>337</v>
      </c>
    </row>
    <row r="25" customFormat="false" ht="15" hidden="false" customHeight="true" outlineLevel="0" collapsed="false">
      <c r="A25" s="7" t="s">
        <v>338</v>
      </c>
      <c r="B25" s="7" t="s">
        <v>171</v>
      </c>
      <c r="C25" s="7" t="s">
        <v>64</v>
      </c>
      <c r="D25" s="7" t="s">
        <v>90</v>
      </c>
      <c r="E25" s="7" t="s">
        <v>118</v>
      </c>
      <c r="F25" s="17" t="s">
        <v>339</v>
      </c>
    </row>
    <row r="26" customFormat="false" ht="15" hidden="false" customHeight="true" outlineLevel="0" collapsed="false">
      <c r="A26" s="7" t="s">
        <v>340</v>
      </c>
      <c r="B26" s="7" t="s">
        <v>218</v>
      </c>
      <c r="C26" s="7" t="s">
        <v>64</v>
      </c>
      <c r="D26" s="7" t="s">
        <v>19</v>
      </c>
      <c r="E26" s="7" t="s">
        <v>77</v>
      </c>
      <c r="F26" s="17" t="s">
        <v>341</v>
      </c>
    </row>
    <row r="27" customFormat="false" ht="15" hidden="false" customHeight="true" outlineLevel="0" collapsed="false">
      <c r="A27" s="7" t="s">
        <v>342</v>
      </c>
      <c r="B27" s="7" t="s">
        <v>218</v>
      </c>
      <c r="C27" s="7" t="s">
        <v>64</v>
      </c>
      <c r="D27" s="7" t="s">
        <v>19</v>
      </c>
      <c r="E27" s="7" t="s">
        <v>77</v>
      </c>
      <c r="F27" s="17" t="s">
        <v>343</v>
      </c>
    </row>
    <row r="28" customFormat="false" ht="34.5" hidden="false" customHeight="true" outlineLevel="0" collapsed="false">
      <c r="A28" s="7" t="s">
        <v>344</v>
      </c>
      <c r="B28" s="7" t="s">
        <v>218</v>
      </c>
      <c r="C28" s="7" t="s">
        <v>64</v>
      </c>
      <c r="D28" s="7" t="s">
        <v>19</v>
      </c>
      <c r="E28" s="7" t="s">
        <v>77</v>
      </c>
      <c r="F28" s="17" t="s">
        <v>345</v>
      </c>
    </row>
    <row r="29" customFormat="false" ht="23.25" hidden="false" customHeight="true" outlineLevel="0" collapsed="false">
      <c r="A29" s="7" t="s">
        <v>346</v>
      </c>
      <c r="B29" s="7" t="s">
        <v>347</v>
      </c>
      <c r="C29" s="7" t="s">
        <v>64</v>
      </c>
      <c r="D29" s="7" t="s">
        <v>19</v>
      </c>
      <c r="E29" s="7" t="s">
        <v>77</v>
      </c>
      <c r="F29" s="17" t="s">
        <v>348</v>
      </c>
    </row>
    <row r="30" customFormat="false" ht="15" hidden="false" customHeight="true" outlineLevel="0" collapsed="false">
      <c r="A30" s="7" t="s">
        <v>349</v>
      </c>
      <c r="B30" s="7" t="s">
        <v>347</v>
      </c>
      <c r="C30" s="7" t="s">
        <v>64</v>
      </c>
      <c r="D30" s="7" t="s">
        <v>19</v>
      </c>
      <c r="E30" s="7" t="s">
        <v>77</v>
      </c>
      <c r="F30" s="17" t="s">
        <v>350</v>
      </c>
    </row>
    <row r="31" customFormat="false" ht="15" hidden="false" customHeight="true" outlineLevel="0" collapsed="false">
      <c r="A31" s="7" t="s">
        <v>351</v>
      </c>
      <c r="B31" s="7" t="s">
        <v>347</v>
      </c>
      <c r="C31" s="7" t="s">
        <v>64</v>
      </c>
      <c r="D31" s="7" t="s">
        <v>19</v>
      </c>
      <c r="E31" s="7" t="s">
        <v>77</v>
      </c>
      <c r="F31" s="17" t="s">
        <v>352</v>
      </c>
    </row>
    <row r="32" customFormat="false" ht="15" hidden="false" customHeight="true" outlineLevel="0" collapsed="false">
      <c r="A32" s="7" t="s">
        <v>353</v>
      </c>
      <c r="B32" s="7" t="s">
        <v>347</v>
      </c>
      <c r="C32" s="7" t="s">
        <v>64</v>
      </c>
      <c r="D32" s="7" t="s">
        <v>19</v>
      </c>
      <c r="E32" s="7" t="s">
        <v>77</v>
      </c>
      <c r="F32" s="17" t="s">
        <v>354</v>
      </c>
    </row>
    <row r="33" customFormat="false" ht="15" hidden="false" customHeight="true" outlineLevel="0" collapsed="false">
      <c r="A33" s="7" t="s">
        <v>355</v>
      </c>
      <c r="B33" s="7" t="s">
        <v>63</v>
      </c>
      <c r="C33" s="7" t="s">
        <v>64</v>
      </c>
      <c r="D33" s="7" t="s">
        <v>19</v>
      </c>
      <c r="E33" s="7" t="s">
        <v>77</v>
      </c>
      <c r="F33" s="17" t="s">
        <v>356</v>
      </c>
    </row>
    <row r="34" customFormat="false" ht="15" hidden="false" customHeight="true" outlineLevel="0" collapsed="false">
      <c r="A34" s="7" t="s">
        <v>357</v>
      </c>
      <c r="B34" s="7" t="s">
        <v>63</v>
      </c>
      <c r="C34" s="7" t="s">
        <v>64</v>
      </c>
      <c r="D34" s="7" t="s">
        <v>19</v>
      </c>
      <c r="E34" s="7" t="s">
        <v>77</v>
      </c>
      <c r="F34" s="17" t="s">
        <v>358</v>
      </c>
    </row>
    <row r="35" customFormat="false" ht="34.5" hidden="false" customHeight="true" outlineLevel="0" collapsed="false">
      <c r="A35" s="7" t="s">
        <v>359</v>
      </c>
      <c r="B35" s="7" t="s">
        <v>87</v>
      </c>
      <c r="C35" s="7" t="s">
        <v>64</v>
      </c>
      <c r="D35" s="7" t="s">
        <v>19</v>
      </c>
      <c r="E35" s="7" t="s">
        <v>77</v>
      </c>
      <c r="F35" s="17" t="s">
        <v>360</v>
      </c>
    </row>
    <row r="36" customFormat="false" ht="15" hidden="false" customHeight="true" outlineLevel="0" collapsed="false">
      <c r="A36" s="7" t="s">
        <v>361</v>
      </c>
      <c r="B36" s="7" t="s">
        <v>87</v>
      </c>
      <c r="C36" s="7" t="s">
        <v>64</v>
      </c>
      <c r="D36" s="7" t="s">
        <v>19</v>
      </c>
      <c r="E36" s="7" t="s">
        <v>77</v>
      </c>
      <c r="F36" s="17" t="s">
        <v>362</v>
      </c>
    </row>
    <row r="37" customFormat="false" ht="15" hidden="false" customHeight="true" outlineLevel="0" collapsed="false">
      <c r="A37" s="7" t="s">
        <v>363</v>
      </c>
      <c r="B37" s="7" t="s">
        <v>87</v>
      </c>
      <c r="C37" s="7" t="s">
        <v>64</v>
      </c>
      <c r="D37" s="7" t="s">
        <v>19</v>
      </c>
      <c r="E37" s="7" t="s">
        <v>77</v>
      </c>
      <c r="F37" s="17" t="s">
        <v>364</v>
      </c>
    </row>
    <row r="38" customFormat="false" ht="15" hidden="false" customHeight="true" outlineLevel="0" collapsed="false">
      <c r="A38" s="7" t="s">
        <v>365</v>
      </c>
      <c r="B38" s="7" t="s">
        <v>366</v>
      </c>
      <c r="C38" s="7" t="s">
        <v>82</v>
      </c>
      <c r="D38" s="7" t="s">
        <v>19</v>
      </c>
      <c r="E38" s="7" t="s">
        <v>77</v>
      </c>
      <c r="F38" s="17" t="s">
        <v>367</v>
      </c>
    </row>
    <row r="39" customFormat="false" ht="15" hidden="false" customHeight="true" outlineLevel="0" collapsed="false">
      <c r="A39" s="7" t="s">
        <v>368</v>
      </c>
      <c r="B39" s="7" t="s">
        <v>73</v>
      </c>
      <c r="C39" s="7" t="s">
        <v>82</v>
      </c>
      <c r="D39" s="7" t="s">
        <v>19</v>
      </c>
      <c r="E39" s="7" t="s">
        <v>77</v>
      </c>
      <c r="F39" s="17" t="s">
        <v>369</v>
      </c>
    </row>
    <row r="40" customFormat="false" ht="15" hidden="false" customHeight="true" outlineLevel="0" collapsed="false">
      <c r="A40" s="7" t="s">
        <v>370</v>
      </c>
      <c r="B40" s="7" t="s">
        <v>73</v>
      </c>
      <c r="C40" s="7" t="s">
        <v>82</v>
      </c>
      <c r="D40" s="7" t="s">
        <v>19</v>
      </c>
      <c r="E40" s="7" t="s">
        <v>77</v>
      </c>
      <c r="F40" s="17" t="s">
        <v>371</v>
      </c>
    </row>
    <row r="41" customFormat="false" ht="15" hidden="false" customHeight="true" outlineLevel="0" collapsed="false">
      <c r="A41" s="7" t="s">
        <v>372</v>
      </c>
      <c r="B41" s="7" t="s">
        <v>224</v>
      </c>
      <c r="C41" s="7" t="s">
        <v>64</v>
      </c>
      <c r="D41" s="7" t="s">
        <v>19</v>
      </c>
      <c r="E41" s="7" t="s">
        <v>77</v>
      </c>
      <c r="F41" s="17" t="s">
        <v>373</v>
      </c>
    </row>
    <row r="42" customFormat="false" ht="15" hidden="false" customHeight="true" outlineLevel="0" collapsed="false">
      <c r="A42" s="7" t="s">
        <v>374</v>
      </c>
      <c r="B42" s="7" t="s">
        <v>224</v>
      </c>
      <c r="C42" s="7" t="s">
        <v>64</v>
      </c>
      <c r="D42" s="7" t="s">
        <v>19</v>
      </c>
      <c r="E42" s="7" t="s">
        <v>77</v>
      </c>
      <c r="F42" s="17" t="s">
        <v>375</v>
      </c>
    </row>
    <row r="43" customFormat="false" ht="15" hidden="false" customHeight="true" outlineLevel="0" collapsed="false">
      <c r="A43" s="7" t="s">
        <v>376</v>
      </c>
      <c r="B43" s="7" t="s">
        <v>265</v>
      </c>
      <c r="C43" s="7" t="s">
        <v>64</v>
      </c>
      <c r="D43" s="7" t="s">
        <v>19</v>
      </c>
      <c r="E43" s="7" t="s">
        <v>77</v>
      </c>
      <c r="F43" s="17" t="s">
        <v>377</v>
      </c>
    </row>
    <row r="44" customFormat="false" ht="15" hidden="false" customHeight="true" outlineLevel="0" collapsed="false">
      <c r="A44" s="7" t="s">
        <v>378</v>
      </c>
      <c r="B44" s="7" t="s">
        <v>265</v>
      </c>
      <c r="C44" s="7" t="s">
        <v>64</v>
      </c>
      <c r="D44" s="7" t="s">
        <v>19</v>
      </c>
      <c r="E44" s="7" t="s">
        <v>77</v>
      </c>
      <c r="F44" s="17" t="s">
        <v>379</v>
      </c>
    </row>
    <row r="45" customFormat="false" ht="15" hidden="false" customHeight="true" outlineLevel="0" collapsed="false">
      <c r="A45" s="7" t="s">
        <v>380</v>
      </c>
      <c r="B45" s="7" t="s">
        <v>265</v>
      </c>
      <c r="C45" s="7" t="s">
        <v>64</v>
      </c>
      <c r="D45" s="7" t="s">
        <v>19</v>
      </c>
      <c r="E45" s="7" t="s">
        <v>77</v>
      </c>
      <c r="F45" s="17" t="s">
        <v>381</v>
      </c>
    </row>
    <row r="46" customFormat="false" ht="23.25" hidden="false" customHeight="true" outlineLevel="0" collapsed="false">
      <c r="A46" s="7" t="s">
        <v>382</v>
      </c>
      <c r="B46" s="7" t="s">
        <v>265</v>
      </c>
      <c r="C46" s="7" t="s">
        <v>64</v>
      </c>
      <c r="D46" s="7" t="s">
        <v>19</v>
      </c>
      <c r="E46" s="7" t="s">
        <v>77</v>
      </c>
      <c r="F46" s="17" t="s">
        <v>383</v>
      </c>
    </row>
    <row r="47" customFormat="false" ht="15" hidden="false" customHeight="true" outlineLevel="0" collapsed="false">
      <c r="A47" s="7" t="s">
        <v>384</v>
      </c>
      <c r="B47" s="7" t="s">
        <v>154</v>
      </c>
      <c r="C47" s="7" t="s">
        <v>64</v>
      </c>
      <c r="D47" s="7" t="s">
        <v>19</v>
      </c>
      <c r="E47" s="7" t="s">
        <v>77</v>
      </c>
      <c r="F47" s="17" t="s">
        <v>385</v>
      </c>
    </row>
    <row r="48" customFormat="false" ht="15" hidden="false" customHeight="true" outlineLevel="0" collapsed="false">
      <c r="A48" s="7" t="s">
        <v>270</v>
      </c>
      <c r="B48" s="7" t="s">
        <v>154</v>
      </c>
      <c r="C48" s="7" t="s">
        <v>64</v>
      </c>
      <c r="D48" s="7" t="s">
        <v>19</v>
      </c>
      <c r="E48" s="7" t="s">
        <v>77</v>
      </c>
      <c r="F48" s="17" t="s">
        <v>273</v>
      </c>
    </row>
    <row r="49" customFormat="false" ht="15" hidden="false" customHeight="true" outlineLevel="0" collapsed="false">
      <c r="A49" s="7" t="s">
        <v>386</v>
      </c>
      <c r="B49" s="7" t="s">
        <v>154</v>
      </c>
      <c r="C49" s="7" t="s">
        <v>64</v>
      </c>
      <c r="D49" s="7" t="s">
        <v>19</v>
      </c>
      <c r="E49" s="7" t="s">
        <v>77</v>
      </c>
      <c r="F49" s="17" t="s">
        <v>387</v>
      </c>
    </row>
    <row r="50" customFormat="false" ht="15" hidden="false" customHeight="true" outlineLevel="0" collapsed="false">
      <c r="A50" s="7" t="s">
        <v>388</v>
      </c>
      <c r="B50" s="7" t="s">
        <v>228</v>
      </c>
      <c r="C50" s="7" t="s">
        <v>88</v>
      </c>
      <c r="D50" s="7" t="s">
        <v>19</v>
      </c>
      <c r="E50" s="7" t="s">
        <v>77</v>
      </c>
      <c r="F50" s="17" t="s">
        <v>389</v>
      </c>
    </row>
    <row r="51" customFormat="false" ht="15" hidden="false" customHeight="true" outlineLevel="0" collapsed="false">
      <c r="A51" s="7" t="s">
        <v>390</v>
      </c>
      <c r="B51" s="7" t="s">
        <v>228</v>
      </c>
      <c r="C51" s="7" t="s">
        <v>64</v>
      </c>
      <c r="D51" s="7" t="s">
        <v>19</v>
      </c>
      <c r="E51" s="7" t="s">
        <v>77</v>
      </c>
      <c r="F51" s="17" t="s">
        <v>391</v>
      </c>
    </row>
    <row r="52" customFormat="false" ht="15" hidden="false" customHeight="true" outlineLevel="0" collapsed="false">
      <c r="A52" s="7" t="s">
        <v>392</v>
      </c>
      <c r="B52" s="7" t="s">
        <v>228</v>
      </c>
      <c r="C52" s="7" t="s">
        <v>64</v>
      </c>
      <c r="D52" s="7" t="s">
        <v>19</v>
      </c>
      <c r="E52" s="7" t="s">
        <v>77</v>
      </c>
      <c r="F52" s="17" t="s">
        <v>393</v>
      </c>
    </row>
    <row r="53" customFormat="false" ht="15" hidden="false" customHeight="true" outlineLevel="0" collapsed="false">
      <c r="A53" s="7" t="s">
        <v>394</v>
      </c>
      <c r="B53" s="7" t="s">
        <v>228</v>
      </c>
      <c r="C53" s="7" t="s">
        <v>64</v>
      </c>
      <c r="D53" s="7" t="s">
        <v>19</v>
      </c>
      <c r="E53" s="7" t="s">
        <v>77</v>
      </c>
      <c r="F53" s="17" t="s">
        <v>395</v>
      </c>
    </row>
    <row r="54" customFormat="false" ht="15" hidden="false" customHeight="true" outlineLevel="0" collapsed="false">
      <c r="A54" s="7" t="s">
        <v>396</v>
      </c>
      <c r="B54" s="7" t="s">
        <v>196</v>
      </c>
      <c r="C54" s="7" t="s">
        <v>64</v>
      </c>
      <c r="D54" s="7" t="s">
        <v>19</v>
      </c>
      <c r="E54" s="7" t="s">
        <v>77</v>
      </c>
      <c r="F54" s="17" t="s">
        <v>397</v>
      </c>
    </row>
    <row r="55" customFormat="false" ht="15" hidden="false" customHeight="true" outlineLevel="0" collapsed="false">
      <c r="A55" s="7" t="s">
        <v>398</v>
      </c>
      <c r="B55" s="7" t="s">
        <v>196</v>
      </c>
      <c r="C55" s="7" t="s">
        <v>64</v>
      </c>
      <c r="D55" s="7" t="s">
        <v>19</v>
      </c>
      <c r="E55" s="7" t="s">
        <v>77</v>
      </c>
      <c r="F55" s="17" t="s">
        <v>399</v>
      </c>
    </row>
    <row r="56" customFormat="false" ht="15" hidden="false" customHeight="true" outlineLevel="0" collapsed="false">
      <c r="A56" s="7" t="s">
        <v>400</v>
      </c>
      <c r="B56" s="7" t="s">
        <v>196</v>
      </c>
      <c r="C56" s="7" t="s">
        <v>64</v>
      </c>
      <c r="D56" s="7" t="s">
        <v>19</v>
      </c>
      <c r="E56" s="7" t="s">
        <v>77</v>
      </c>
      <c r="F56" s="17" t="s">
        <v>401</v>
      </c>
    </row>
    <row r="57" customFormat="false" ht="15" hidden="false" customHeight="true" outlineLevel="0" collapsed="false">
      <c r="A57" s="7" t="s">
        <v>402</v>
      </c>
      <c r="B57" s="7" t="s">
        <v>133</v>
      </c>
      <c r="C57" s="7" t="s">
        <v>64</v>
      </c>
      <c r="D57" s="7" t="s">
        <v>19</v>
      </c>
      <c r="E57" s="7" t="s">
        <v>77</v>
      </c>
      <c r="F57" s="17" t="s">
        <v>403</v>
      </c>
    </row>
    <row r="58" customFormat="false" ht="15" hidden="false" customHeight="true" outlineLevel="0" collapsed="false">
      <c r="A58" s="7" t="s">
        <v>404</v>
      </c>
      <c r="B58" s="7" t="s">
        <v>141</v>
      </c>
      <c r="C58" s="7" t="s">
        <v>64</v>
      </c>
      <c r="D58" s="7" t="s">
        <v>19</v>
      </c>
      <c r="E58" s="7" t="s">
        <v>77</v>
      </c>
      <c r="F58" s="17" t="s">
        <v>405</v>
      </c>
    </row>
    <row r="59" customFormat="false" ht="15" hidden="false" customHeight="true" outlineLevel="0" collapsed="false">
      <c r="A59" s="7" t="s">
        <v>406</v>
      </c>
      <c r="B59" s="7" t="s">
        <v>141</v>
      </c>
      <c r="C59" s="7" t="s">
        <v>64</v>
      </c>
      <c r="D59" s="7" t="s">
        <v>19</v>
      </c>
      <c r="E59" s="7" t="s">
        <v>77</v>
      </c>
      <c r="F59" s="17" t="s">
        <v>407</v>
      </c>
    </row>
    <row r="60" customFormat="false" ht="15" hidden="false" customHeight="true" outlineLevel="0" collapsed="false">
      <c r="A60" s="7" t="s">
        <v>408</v>
      </c>
      <c r="B60" s="7" t="s">
        <v>141</v>
      </c>
      <c r="C60" s="7" t="s">
        <v>64</v>
      </c>
      <c r="D60" s="7" t="s">
        <v>19</v>
      </c>
      <c r="E60" s="7" t="s">
        <v>77</v>
      </c>
      <c r="F60" s="17" t="s">
        <v>409</v>
      </c>
    </row>
    <row r="61" customFormat="false" ht="15" hidden="false" customHeight="true" outlineLevel="0" collapsed="false">
      <c r="A61" s="7" t="s">
        <v>140</v>
      </c>
      <c r="B61" s="7" t="s">
        <v>141</v>
      </c>
      <c r="C61" s="7" t="s">
        <v>64</v>
      </c>
      <c r="D61" s="7" t="s">
        <v>19</v>
      </c>
      <c r="E61" s="7" t="s">
        <v>77</v>
      </c>
      <c r="F61" s="17" t="s">
        <v>144</v>
      </c>
    </row>
    <row r="62" customFormat="false" ht="15" hidden="false" customHeight="true" outlineLevel="0" collapsed="false">
      <c r="A62" s="7" t="s">
        <v>410</v>
      </c>
      <c r="B62" s="7" t="s">
        <v>141</v>
      </c>
      <c r="C62" s="7" t="s">
        <v>82</v>
      </c>
      <c r="D62" s="7" t="s">
        <v>19</v>
      </c>
      <c r="E62" s="7" t="s">
        <v>77</v>
      </c>
      <c r="F62" s="17" t="s">
        <v>411</v>
      </c>
    </row>
    <row r="63" customFormat="false" ht="15" hidden="false" customHeight="true" outlineLevel="0" collapsed="false">
      <c r="A63" s="7" t="s">
        <v>412</v>
      </c>
      <c r="B63" s="7" t="s">
        <v>413</v>
      </c>
      <c r="C63" s="7" t="s">
        <v>64</v>
      </c>
      <c r="D63" s="7" t="s">
        <v>19</v>
      </c>
      <c r="E63" s="7" t="s">
        <v>77</v>
      </c>
      <c r="F63" s="17" t="s">
        <v>414</v>
      </c>
    </row>
    <row r="64" customFormat="false" ht="15" hidden="false" customHeight="true" outlineLevel="0" collapsed="false">
      <c r="A64" s="7" t="s">
        <v>415</v>
      </c>
      <c r="B64" s="7" t="s">
        <v>413</v>
      </c>
      <c r="C64" s="7" t="s">
        <v>64</v>
      </c>
      <c r="D64" s="7" t="s">
        <v>19</v>
      </c>
      <c r="E64" s="7" t="s">
        <v>77</v>
      </c>
      <c r="F64" s="17" t="s">
        <v>416</v>
      </c>
    </row>
    <row r="65" customFormat="false" ht="15" hidden="false" customHeight="true" outlineLevel="0" collapsed="false">
      <c r="A65" s="7" t="s">
        <v>417</v>
      </c>
      <c r="B65" s="7" t="s">
        <v>413</v>
      </c>
      <c r="C65" s="7" t="s">
        <v>64</v>
      </c>
      <c r="D65" s="7" t="s">
        <v>19</v>
      </c>
      <c r="E65" s="7" t="s">
        <v>77</v>
      </c>
      <c r="F65" s="17" t="s">
        <v>418</v>
      </c>
    </row>
    <row r="66" customFormat="false" ht="15" hidden="false" customHeight="true" outlineLevel="0" collapsed="false">
      <c r="A66" s="7" t="s">
        <v>419</v>
      </c>
      <c r="B66" s="7" t="s">
        <v>413</v>
      </c>
      <c r="C66" s="7" t="s">
        <v>64</v>
      </c>
      <c r="D66" s="7" t="s">
        <v>19</v>
      </c>
      <c r="E66" s="7" t="s">
        <v>77</v>
      </c>
      <c r="F66" s="17" t="s">
        <v>420</v>
      </c>
    </row>
    <row r="67" customFormat="false" ht="15" hidden="false" customHeight="true" outlineLevel="0" collapsed="false">
      <c r="A67" s="7" t="s">
        <v>421</v>
      </c>
      <c r="B67" s="7" t="s">
        <v>413</v>
      </c>
      <c r="C67" s="7" t="s">
        <v>64</v>
      </c>
      <c r="D67" s="7" t="s">
        <v>19</v>
      </c>
      <c r="E67" s="7" t="s">
        <v>77</v>
      </c>
      <c r="F67" s="17" t="s">
        <v>422</v>
      </c>
    </row>
    <row r="68" customFormat="false" ht="15" hidden="false" customHeight="true" outlineLevel="0" collapsed="false">
      <c r="A68" s="7" t="s">
        <v>423</v>
      </c>
      <c r="B68" s="7" t="s">
        <v>160</v>
      </c>
      <c r="C68" s="7" t="s">
        <v>64</v>
      </c>
      <c r="D68" s="7" t="s">
        <v>19</v>
      </c>
      <c r="E68" s="7" t="s">
        <v>77</v>
      </c>
      <c r="F68" s="17" t="s">
        <v>424</v>
      </c>
    </row>
    <row r="69" customFormat="false" ht="15" hidden="false" customHeight="true" outlineLevel="0" collapsed="false">
      <c r="A69" s="7" t="s">
        <v>425</v>
      </c>
      <c r="B69" s="7" t="s">
        <v>160</v>
      </c>
      <c r="C69" s="7" t="s">
        <v>64</v>
      </c>
      <c r="D69" s="7" t="s">
        <v>19</v>
      </c>
      <c r="E69" s="7" t="s">
        <v>77</v>
      </c>
      <c r="F69" s="17" t="s">
        <v>426</v>
      </c>
    </row>
    <row r="70" customFormat="false" ht="15" hidden="false" customHeight="true" outlineLevel="0" collapsed="false">
      <c r="A70" s="7" t="s">
        <v>427</v>
      </c>
      <c r="B70" s="7" t="s">
        <v>160</v>
      </c>
      <c r="C70" s="7" t="s">
        <v>82</v>
      </c>
      <c r="D70" s="7" t="s">
        <v>19</v>
      </c>
      <c r="E70" s="7" t="s">
        <v>77</v>
      </c>
      <c r="F70" s="17" t="s">
        <v>428</v>
      </c>
    </row>
    <row r="71" customFormat="false" ht="15" hidden="false" customHeight="true" outlineLevel="0" collapsed="false">
      <c r="A71" s="7" t="s">
        <v>429</v>
      </c>
      <c r="B71" s="7" t="s">
        <v>160</v>
      </c>
      <c r="C71" s="7" t="s">
        <v>64</v>
      </c>
      <c r="D71" s="7" t="s">
        <v>19</v>
      </c>
      <c r="E71" s="7" t="s">
        <v>77</v>
      </c>
      <c r="F71" s="17" t="s">
        <v>430</v>
      </c>
    </row>
    <row r="72" customFormat="false" ht="15" hidden="false" customHeight="true" outlineLevel="0" collapsed="false">
      <c r="A72" s="7" t="s">
        <v>431</v>
      </c>
      <c r="B72" s="7" t="s">
        <v>160</v>
      </c>
      <c r="C72" s="7" t="s">
        <v>64</v>
      </c>
      <c r="D72" s="7" t="s">
        <v>19</v>
      </c>
      <c r="E72" s="7" t="s">
        <v>77</v>
      </c>
      <c r="F72" s="17" t="s">
        <v>432</v>
      </c>
    </row>
    <row r="73" customFormat="false" ht="15" hidden="false" customHeight="true" outlineLevel="0" collapsed="false">
      <c r="A73" s="7" t="s">
        <v>433</v>
      </c>
      <c r="B73" s="7" t="s">
        <v>434</v>
      </c>
      <c r="C73" s="7" t="s">
        <v>64</v>
      </c>
      <c r="D73" s="7" t="s">
        <v>19</v>
      </c>
      <c r="E73" s="7" t="s">
        <v>77</v>
      </c>
      <c r="F73" s="17" t="s">
        <v>435</v>
      </c>
    </row>
    <row r="74" customFormat="false" ht="15" hidden="false" customHeight="true" outlineLevel="0" collapsed="false">
      <c r="A74" s="7" t="s">
        <v>436</v>
      </c>
      <c r="B74" s="7" t="s">
        <v>316</v>
      </c>
      <c r="C74" s="7" t="s">
        <v>64</v>
      </c>
      <c r="D74" s="7" t="s">
        <v>19</v>
      </c>
      <c r="E74" s="7" t="s">
        <v>77</v>
      </c>
      <c r="F74" s="17" t="s">
        <v>437</v>
      </c>
    </row>
    <row r="75" customFormat="false" ht="15" hidden="false" customHeight="true" outlineLevel="0" collapsed="false">
      <c r="A75" s="7" t="s">
        <v>438</v>
      </c>
      <c r="B75" s="7" t="s">
        <v>316</v>
      </c>
      <c r="C75" s="7" t="s">
        <v>64</v>
      </c>
      <c r="D75" s="7" t="s">
        <v>19</v>
      </c>
      <c r="E75" s="7" t="s">
        <v>77</v>
      </c>
      <c r="F75" s="17" t="s">
        <v>439</v>
      </c>
    </row>
    <row r="76" customFormat="false" ht="15" hidden="false" customHeight="true" outlineLevel="0" collapsed="false">
      <c r="A76" s="7" t="s">
        <v>440</v>
      </c>
      <c r="B76" s="7" t="s">
        <v>148</v>
      </c>
      <c r="C76" s="7" t="s">
        <v>64</v>
      </c>
      <c r="D76" s="7" t="s">
        <v>19</v>
      </c>
      <c r="E76" s="7" t="s">
        <v>77</v>
      </c>
      <c r="F76" s="17" t="s">
        <v>441</v>
      </c>
    </row>
    <row r="77" customFormat="false" ht="15" hidden="false" customHeight="true" outlineLevel="0" collapsed="false">
      <c r="A77" s="7" t="s">
        <v>202</v>
      </c>
      <c r="B77" s="7" t="s">
        <v>148</v>
      </c>
      <c r="C77" s="7" t="s">
        <v>64</v>
      </c>
      <c r="D77" s="7" t="s">
        <v>19</v>
      </c>
      <c r="E77" s="7" t="s">
        <v>77</v>
      </c>
      <c r="F77" s="17" t="s">
        <v>205</v>
      </c>
    </row>
    <row r="78" customFormat="false" ht="15" hidden="false" customHeight="true" outlineLevel="0" collapsed="false">
      <c r="A78" s="7" t="s">
        <v>442</v>
      </c>
      <c r="B78" s="7" t="s">
        <v>148</v>
      </c>
      <c r="C78" s="7" t="s">
        <v>64</v>
      </c>
      <c r="D78" s="7" t="s">
        <v>19</v>
      </c>
      <c r="E78" s="7" t="s">
        <v>77</v>
      </c>
      <c r="F78" s="17" t="s">
        <v>443</v>
      </c>
    </row>
    <row r="79" customFormat="false" ht="15" hidden="false" customHeight="true" outlineLevel="0" collapsed="false">
      <c r="A79" s="7" t="s">
        <v>444</v>
      </c>
      <c r="B79" s="7" t="s">
        <v>107</v>
      </c>
      <c r="C79" s="7" t="s">
        <v>64</v>
      </c>
      <c r="D79" s="7" t="s">
        <v>19</v>
      </c>
      <c r="E79" s="7" t="s">
        <v>77</v>
      </c>
      <c r="F79" s="17" t="s">
        <v>445</v>
      </c>
    </row>
    <row r="80" customFormat="false" ht="15" hidden="false" customHeight="true" outlineLevel="0" collapsed="false">
      <c r="A80" s="7" t="s">
        <v>446</v>
      </c>
      <c r="B80" s="7" t="s">
        <v>107</v>
      </c>
      <c r="C80" s="7" t="s">
        <v>64</v>
      </c>
      <c r="D80" s="7" t="s">
        <v>19</v>
      </c>
      <c r="E80" s="7" t="s">
        <v>77</v>
      </c>
      <c r="F80" s="17" t="s">
        <v>447</v>
      </c>
    </row>
    <row r="81" customFormat="false" ht="15" hidden="false" customHeight="true" outlineLevel="0" collapsed="false">
      <c r="A81" s="7" t="s">
        <v>448</v>
      </c>
      <c r="B81" s="7" t="s">
        <v>107</v>
      </c>
      <c r="C81" s="7" t="s">
        <v>64</v>
      </c>
      <c r="D81" s="7" t="s">
        <v>19</v>
      </c>
      <c r="E81" s="7" t="s">
        <v>77</v>
      </c>
      <c r="F81" s="17" t="s">
        <v>449</v>
      </c>
    </row>
    <row r="82" customFormat="false" ht="15" hidden="false" customHeight="true" outlineLevel="0" collapsed="false">
      <c r="A82" s="7" t="s">
        <v>450</v>
      </c>
      <c r="B82" s="7" t="s">
        <v>116</v>
      </c>
      <c r="C82" s="7" t="s">
        <v>64</v>
      </c>
      <c r="D82" s="7" t="s">
        <v>19</v>
      </c>
      <c r="E82" s="7" t="s">
        <v>77</v>
      </c>
      <c r="F82" s="17" t="s">
        <v>451</v>
      </c>
    </row>
    <row r="83" customFormat="false" ht="15" hidden="false" customHeight="true" outlineLevel="0" collapsed="false">
      <c r="A83" s="7" t="s">
        <v>452</v>
      </c>
      <c r="B83" s="7" t="s">
        <v>453</v>
      </c>
      <c r="C83" s="7" t="s">
        <v>64</v>
      </c>
      <c r="D83" s="7" t="s">
        <v>19</v>
      </c>
      <c r="E83" s="7" t="s">
        <v>77</v>
      </c>
      <c r="F83" s="17" t="s">
        <v>454</v>
      </c>
    </row>
    <row r="84" customFormat="false" ht="15" hidden="false" customHeight="true" outlineLevel="0" collapsed="false">
      <c r="A84" s="7" t="s">
        <v>455</v>
      </c>
      <c r="B84" s="7" t="s">
        <v>453</v>
      </c>
      <c r="C84" s="7" t="s">
        <v>64</v>
      </c>
      <c r="D84" s="7" t="s">
        <v>19</v>
      </c>
      <c r="E84" s="7" t="s">
        <v>77</v>
      </c>
      <c r="F84" s="17" t="s">
        <v>456</v>
      </c>
    </row>
    <row r="85" customFormat="false" ht="15" hidden="false" customHeight="true" outlineLevel="0" collapsed="false">
      <c r="A85" s="7" t="s">
        <v>457</v>
      </c>
      <c r="B85" s="7" t="s">
        <v>122</v>
      </c>
      <c r="C85" s="7" t="s">
        <v>64</v>
      </c>
      <c r="D85" s="7" t="s">
        <v>19</v>
      </c>
      <c r="E85" s="7" t="s">
        <v>77</v>
      </c>
      <c r="F85" s="17" t="s">
        <v>458</v>
      </c>
    </row>
    <row r="86" customFormat="false" ht="15" hidden="false" customHeight="true" outlineLevel="0" collapsed="false">
      <c r="A86" s="7" t="s">
        <v>459</v>
      </c>
      <c r="B86" s="7" t="s">
        <v>122</v>
      </c>
      <c r="C86" s="7" t="s">
        <v>64</v>
      </c>
      <c r="D86" s="7" t="s">
        <v>19</v>
      </c>
      <c r="E86" s="7" t="s">
        <v>77</v>
      </c>
      <c r="F86" s="17" t="s">
        <v>460</v>
      </c>
    </row>
    <row r="87" customFormat="false" ht="23.25" hidden="false" customHeight="true" outlineLevel="0" collapsed="false">
      <c r="A87" s="7" t="s">
        <v>461</v>
      </c>
      <c r="B87" s="7" t="s">
        <v>208</v>
      </c>
      <c r="C87" s="7" t="s">
        <v>64</v>
      </c>
      <c r="D87" s="7" t="s">
        <v>19</v>
      </c>
      <c r="E87" s="7" t="s">
        <v>118</v>
      </c>
      <c r="F87" s="17" t="s">
        <v>462</v>
      </c>
    </row>
    <row r="88" customFormat="false" ht="15" hidden="false" customHeight="true" outlineLevel="0" collapsed="false">
      <c r="A88" s="7" t="s">
        <v>463</v>
      </c>
      <c r="B88" s="7" t="s">
        <v>208</v>
      </c>
      <c r="C88" s="7" t="s">
        <v>64</v>
      </c>
      <c r="D88" s="7" t="s">
        <v>19</v>
      </c>
      <c r="E88" s="7" t="s">
        <v>77</v>
      </c>
      <c r="F88" s="17" t="s">
        <v>464</v>
      </c>
    </row>
    <row r="89" customFormat="false" ht="23.25" hidden="false" customHeight="true" outlineLevel="0" collapsed="false">
      <c r="A89" s="7" t="s">
        <v>465</v>
      </c>
      <c r="B89" s="7" t="s">
        <v>466</v>
      </c>
      <c r="C89" s="7" t="s">
        <v>64</v>
      </c>
      <c r="D89" s="7" t="s">
        <v>19</v>
      </c>
      <c r="E89" s="7" t="s">
        <v>77</v>
      </c>
      <c r="F89" s="17" t="s">
        <v>467</v>
      </c>
    </row>
    <row r="90" customFormat="false" ht="15" hidden="false" customHeight="true" outlineLevel="0" collapsed="false">
      <c r="A90" s="7" t="s">
        <v>468</v>
      </c>
      <c r="B90" s="7" t="s">
        <v>466</v>
      </c>
      <c r="C90" s="7" t="s">
        <v>64</v>
      </c>
      <c r="D90" s="7" t="s">
        <v>19</v>
      </c>
      <c r="E90" s="7" t="s">
        <v>77</v>
      </c>
      <c r="F90" s="17" t="s">
        <v>469</v>
      </c>
    </row>
    <row r="91" customFormat="false" ht="23.25" hidden="false" customHeight="true" outlineLevel="0" collapsed="false">
      <c r="A91" s="7" t="s">
        <v>470</v>
      </c>
      <c r="B91" s="7" t="s">
        <v>466</v>
      </c>
      <c r="C91" s="7" t="s">
        <v>64</v>
      </c>
      <c r="D91" s="7" t="s">
        <v>19</v>
      </c>
      <c r="E91" s="7" t="s">
        <v>118</v>
      </c>
      <c r="F91" s="17" t="s">
        <v>471</v>
      </c>
    </row>
    <row r="92" customFormat="false" ht="15" hidden="false" customHeight="true" outlineLevel="0" collapsed="false">
      <c r="A92" s="7" t="s">
        <v>472</v>
      </c>
      <c r="B92" s="7" t="s">
        <v>466</v>
      </c>
      <c r="C92" s="7" t="s">
        <v>82</v>
      </c>
      <c r="D92" s="7" t="s">
        <v>19</v>
      </c>
      <c r="E92" s="7" t="s">
        <v>77</v>
      </c>
      <c r="F92" s="17" t="s">
        <v>473</v>
      </c>
    </row>
    <row r="93" customFormat="false" ht="15" hidden="false" customHeight="true" outlineLevel="0" collapsed="false">
      <c r="A93" s="7" t="s">
        <v>474</v>
      </c>
      <c r="B93" s="7" t="s">
        <v>466</v>
      </c>
      <c r="C93" s="7" t="s">
        <v>64</v>
      </c>
      <c r="D93" s="7" t="s">
        <v>19</v>
      </c>
      <c r="E93" s="7" t="s">
        <v>77</v>
      </c>
      <c r="F93" s="17" t="s">
        <v>475</v>
      </c>
    </row>
    <row r="94" customFormat="false" ht="15" hidden="false" customHeight="true" outlineLevel="0" collapsed="false">
      <c r="A94" s="7" t="s">
        <v>476</v>
      </c>
      <c r="B94" s="7" t="s">
        <v>176</v>
      </c>
      <c r="C94" s="7" t="s">
        <v>64</v>
      </c>
      <c r="D94" s="7" t="s">
        <v>19</v>
      </c>
      <c r="E94" s="7" t="s">
        <v>77</v>
      </c>
      <c r="F94" s="17" t="s">
        <v>477</v>
      </c>
    </row>
    <row r="95" customFormat="false" ht="15" hidden="false" customHeight="true" outlineLevel="0" collapsed="false">
      <c r="A95" s="7" t="s">
        <v>478</v>
      </c>
      <c r="B95" s="7" t="s">
        <v>176</v>
      </c>
      <c r="C95" s="7" t="s">
        <v>64</v>
      </c>
      <c r="D95" s="7" t="s">
        <v>19</v>
      </c>
      <c r="E95" s="7" t="s">
        <v>68</v>
      </c>
      <c r="F95" s="17" t="s">
        <v>479</v>
      </c>
    </row>
    <row r="96" customFormat="false" ht="15" hidden="false" customHeight="true" outlineLevel="0" collapsed="false">
      <c r="A96" s="7" t="s">
        <v>480</v>
      </c>
      <c r="B96" s="7" t="s">
        <v>101</v>
      </c>
      <c r="C96" s="7" t="s">
        <v>64</v>
      </c>
      <c r="D96" s="7" t="s">
        <v>19</v>
      </c>
      <c r="E96" s="7" t="s">
        <v>77</v>
      </c>
      <c r="F96" s="17" t="s">
        <v>481</v>
      </c>
    </row>
    <row r="97" customFormat="false" ht="15" hidden="false" customHeight="true" outlineLevel="0" collapsed="false">
      <c r="A97" s="7" t="s">
        <v>482</v>
      </c>
      <c r="B97" s="7" t="s">
        <v>101</v>
      </c>
      <c r="C97" s="7" t="s">
        <v>64</v>
      </c>
      <c r="D97" s="7" t="s">
        <v>19</v>
      </c>
      <c r="E97" s="7" t="s">
        <v>77</v>
      </c>
      <c r="F97" s="17" t="s">
        <v>483</v>
      </c>
    </row>
    <row r="98" customFormat="false" ht="15" hidden="false" customHeight="true" outlineLevel="0" collapsed="false">
      <c r="A98" s="7" t="s">
        <v>484</v>
      </c>
      <c r="B98" s="7" t="s">
        <v>171</v>
      </c>
      <c r="C98" s="7" t="s">
        <v>64</v>
      </c>
      <c r="D98" s="7" t="s">
        <v>19</v>
      </c>
      <c r="E98" s="7" t="s">
        <v>77</v>
      </c>
      <c r="F98" s="17" t="s">
        <v>485</v>
      </c>
    </row>
    <row r="99" customFormat="false" ht="15" hidden="false" customHeight="true" outlineLevel="0" collapsed="false">
      <c r="A99" s="7" t="s">
        <v>486</v>
      </c>
      <c r="B99" s="7" t="s">
        <v>171</v>
      </c>
      <c r="C99" s="7" t="s">
        <v>64</v>
      </c>
      <c r="D99" s="7" t="s">
        <v>19</v>
      </c>
      <c r="E99" s="7" t="s">
        <v>118</v>
      </c>
      <c r="F99" s="17" t="s">
        <v>487</v>
      </c>
    </row>
    <row r="100" customFormat="false" ht="15" hidden="false" customHeight="true" outlineLevel="0" collapsed="false">
      <c r="A100" s="7" t="s">
        <v>488</v>
      </c>
      <c r="B100" s="7" t="s">
        <v>171</v>
      </c>
      <c r="C100" s="7" t="s">
        <v>64</v>
      </c>
      <c r="D100" s="7" t="s">
        <v>19</v>
      </c>
      <c r="E100" s="7" t="s">
        <v>77</v>
      </c>
      <c r="F100" s="17" t="s">
        <v>489</v>
      </c>
    </row>
    <row r="101" customFormat="false" ht="15" hidden="false" customHeight="true" outlineLevel="0" collapsed="false">
      <c r="A101" s="7" t="s">
        <v>490</v>
      </c>
      <c r="B101" s="7" t="s">
        <v>171</v>
      </c>
      <c r="C101" s="7" t="s">
        <v>64</v>
      </c>
      <c r="D101" s="7" t="s">
        <v>19</v>
      </c>
      <c r="E101" s="7" t="s">
        <v>118</v>
      </c>
      <c r="F101" s="17" t="s">
        <v>491</v>
      </c>
    </row>
  </sheetData>
  <autoFilter ref="A3:F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16"/>
    <col collapsed="false" customWidth="true" hidden="false" outlineLevel="0" max="4" min="4" style="1" width="9"/>
    <col collapsed="false" customWidth="true" hidden="false" outlineLevel="0" max="5" min="5" style="1" width="34"/>
    <col collapsed="false" customWidth="true" hidden="false" outlineLevel="0" max="6" min="6" style="1" width="11"/>
    <col collapsed="false" customWidth="true" hidden="false" outlineLevel="0" max="7" min="7" style="1" width="80"/>
    <col collapsed="false" customWidth="true" hidden="false" outlineLevel="0" max="8" min="8" style="1" width="10"/>
  </cols>
  <sheetData>
    <row r="1" customFormat="false" ht="30" hidden="false" customHeight="true" outlineLevel="0" collapsed="false">
      <c r="A1" s="22" t="s">
        <v>492</v>
      </c>
    </row>
    <row r="3" customFormat="false" ht="34.5" hidden="false" customHeight="true" outlineLevel="0" collapsed="false">
      <c r="A3" s="6" t="s">
        <v>13</v>
      </c>
      <c r="B3" s="6" t="s">
        <v>493</v>
      </c>
      <c r="C3" s="6" t="s">
        <v>494</v>
      </c>
      <c r="D3" s="6" t="s">
        <v>54</v>
      </c>
      <c r="E3" s="6" t="s">
        <v>495</v>
      </c>
      <c r="F3" s="6" t="s">
        <v>496</v>
      </c>
      <c r="G3" s="6" t="s">
        <v>497</v>
      </c>
      <c r="H3" s="6" t="s">
        <v>498</v>
      </c>
    </row>
    <row r="4" customFormat="false" ht="23.25" hidden="false" customHeight="true" outlineLevel="0" collapsed="false">
      <c r="A4" s="7" t="s">
        <v>499</v>
      </c>
      <c r="B4" s="7" t="s">
        <v>500</v>
      </c>
      <c r="C4" s="7" t="s">
        <v>501</v>
      </c>
      <c r="D4" s="7" t="s">
        <v>88</v>
      </c>
      <c r="E4" s="17" t="s">
        <v>502</v>
      </c>
      <c r="F4" s="7" t="s">
        <v>503</v>
      </c>
      <c r="G4" s="17" t="s">
        <v>504</v>
      </c>
      <c r="H4" s="7" t="n">
        <v>1</v>
      </c>
    </row>
    <row r="5" customFormat="false" ht="23.25" hidden="false" customHeight="true" outlineLevel="0" collapsed="false">
      <c r="A5" s="7" t="s">
        <v>505</v>
      </c>
      <c r="B5" s="7" t="s">
        <v>500</v>
      </c>
      <c r="C5" s="7" t="s">
        <v>506</v>
      </c>
      <c r="D5" s="7"/>
      <c r="E5" s="17"/>
      <c r="F5" s="7" t="s">
        <v>507</v>
      </c>
      <c r="G5" s="17" t="s">
        <v>508</v>
      </c>
      <c r="H5" s="7" t="n">
        <v>1</v>
      </c>
    </row>
    <row r="6" customFormat="false" ht="23.25" hidden="false" customHeight="true" outlineLevel="0" collapsed="false">
      <c r="A6" s="7" t="s">
        <v>509</v>
      </c>
      <c r="B6" s="7" t="s">
        <v>510</v>
      </c>
      <c r="C6" s="7" t="s">
        <v>511</v>
      </c>
      <c r="D6" s="7" t="s">
        <v>64</v>
      </c>
      <c r="E6" s="17" t="s">
        <v>512</v>
      </c>
      <c r="F6" s="7" t="s">
        <v>503</v>
      </c>
      <c r="G6" s="17" t="s">
        <v>513</v>
      </c>
      <c r="H6" s="7" t="n">
        <v>1</v>
      </c>
    </row>
    <row r="7" customFormat="false" ht="23.25" hidden="false" customHeight="true" outlineLevel="0" collapsed="false">
      <c r="A7" s="7" t="s">
        <v>514</v>
      </c>
      <c r="B7" s="7" t="s">
        <v>515</v>
      </c>
      <c r="C7" s="7" t="s">
        <v>516</v>
      </c>
      <c r="D7" s="7" t="s">
        <v>88</v>
      </c>
      <c r="E7" s="17" t="s">
        <v>517</v>
      </c>
      <c r="F7" s="7" t="s">
        <v>503</v>
      </c>
      <c r="G7" s="17" t="s">
        <v>518</v>
      </c>
      <c r="H7" s="7" t="n">
        <v>2</v>
      </c>
    </row>
    <row r="8" customFormat="false" ht="23.25" hidden="false" customHeight="true" outlineLevel="0" collapsed="false">
      <c r="A8" s="7" t="s">
        <v>519</v>
      </c>
      <c r="B8" s="7" t="s">
        <v>515</v>
      </c>
      <c r="C8" s="7" t="s">
        <v>520</v>
      </c>
      <c r="D8" s="7" t="s">
        <v>88</v>
      </c>
      <c r="E8" s="17" t="s">
        <v>521</v>
      </c>
      <c r="F8" s="7" t="s">
        <v>503</v>
      </c>
      <c r="G8" s="17" t="s">
        <v>522</v>
      </c>
      <c r="H8" s="7" t="n">
        <v>2</v>
      </c>
    </row>
    <row r="9" customFormat="false" ht="23.25" hidden="false" customHeight="true" outlineLevel="0" collapsed="false">
      <c r="A9" s="7" t="s">
        <v>523</v>
      </c>
      <c r="B9" s="7" t="s">
        <v>515</v>
      </c>
      <c r="C9" s="7" t="s">
        <v>524</v>
      </c>
      <c r="D9" s="7" t="s">
        <v>88</v>
      </c>
      <c r="E9" s="17" t="s">
        <v>525</v>
      </c>
      <c r="F9" s="7" t="s">
        <v>503</v>
      </c>
      <c r="G9" s="17" t="s">
        <v>526</v>
      </c>
      <c r="H9" s="7" t="n">
        <v>1</v>
      </c>
    </row>
    <row r="10" customFormat="false" ht="45.75" hidden="false" customHeight="true" outlineLevel="0" collapsed="false">
      <c r="A10" s="7" t="s">
        <v>527</v>
      </c>
      <c r="B10" s="7" t="s">
        <v>515</v>
      </c>
      <c r="C10" s="7" t="s">
        <v>524</v>
      </c>
      <c r="D10" s="7" t="s">
        <v>88</v>
      </c>
      <c r="E10" s="17" t="s">
        <v>528</v>
      </c>
      <c r="F10" s="7" t="s">
        <v>503</v>
      </c>
      <c r="G10" s="17" t="s">
        <v>529</v>
      </c>
      <c r="H10" s="7" t="n">
        <v>3</v>
      </c>
    </row>
    <row r="11" customFormat="false" ht="23.25" hidden="false" customHeight="true" outlineLevel="0" collapsed="false">
      <c r="A11" s="7" t="s">
        <v>530</v>
      </c>
      <c r="B11" s="7" t="s">
        <v>515</v>
      </c>
      <c r="C11" s="7" t="s">
        <v>531</v>
      </c>
      <c r="D11" s="7" t="s">
        <v>88</v>
      </c>
      <c r="E11" s="17" t="s">
        <v>532</v>
      </c>
      <c r="F11" s="7" t="s">
        <v>503</v>
      </c>
      <c r="G11" s="17" t="s">
        <v>533</v>
      </c>
      <c r="H11" s="7" t="n">
        <v>2</v>
      </c>
    </row>
    <row r="12" customFormat="false" ht="23.25" hidden="false" customHeight="true" outlineLevel="0" collapsed="false">
      <c r="A12" s="7" t="s">
        <v>534</v>
      </c>
      <c r="B12" s="7" t="s">
        <v>515</v>
      </c>
      <c r="C12" s="7" t="s">
        <v>535</v>
      </c>
      <c r="D12" s="7" t="s">
        <v>64</v>
      </c>
      <c r="E12" s="17" t="s">
        <v>536</v>
      </c>
      <c r="F12" s="7" t="s">
        <v>503</v>
      </c>
      <c r="G12" s="17" t="s">
        <v>537</v>
      </c>
      <c r="H12" s="7" t="n">
        <v>1</v>
      </c>
    </row>
    <row r="13" customFormat="false" ht="23.25" hidden="false" customHeight="true" outlineLevel="0" collapsed="false">
      <c r="A13" s="7" t="s">
        <v>538</v>
      </c>
      <c r="B13" s="7" t="s">
        <v>515</v>
      </c>
      <c r="C13" s="7" t="s">
        <v>539</v>
      </c>
      <c r="D13" s="7" t="s">
        <v>64</v>
      </c>
      <c r="E13" s="17" t="s">
        <v>540</v>
      </c>
      <c r="F13" s="7" t="s">
        <v>503</v>
      </c>
      <c r="G13" s="17" t="s">
        <v>541</v>
      </c>
      <c r="H13" s="7" t="n">
        <v>1</v>
      </c>
    </row>
    <row r="14" customFormat="false" ht="15" hidden="false" customHeight="true" outlineLevel="0" collapsed="false">
      <c r="A14" s="7" t="s">
        <v>542</v>
      </c>
      <c r="B14" s="7" t="s">
        <v>515</v>
      </c>
      <c r="C14" s="7" t="s">
        <v>531</v>
      </c>
      <c r="D14" s="7" t="s">
        <v>64</v>
      </c>
      <c r="E14" s="17" t="s">
        <v>543</v>
      </c>
      <c r="F14" s="7" t="s">
        <v>503</v>
      </c>
      <c r="G14" s="17" t="s">
        <v>544</v>
      </c>
      <c r="H14" s="7" t="n">
        <v>1</v>
      </c>
    </row>
    <row r="15" customFormat="false" ht="15" hidden="false" customHeight="true" outlineLevel="0" collapsed="false">
      <c r="A15" s="7" t="s">
        <v>545</v>
      </c>
      <c r="B15" s="7" t="s">
        <v>515</v>
      </c>
      <c r="C15" s="7" t="s">
        <v>546</v>
      </c>
      <c r="D15" s="7" t="s">
        <v>64</v>
      </c>
      <c r="E15" s="17" t="s">
        <v>547</v>
      </c>
      <c r="F15" s="7" t="s">
        <v>503</v>
      </c>
      <c r="G15" s="17" t="s">
        <v>548</v>
      </c>
      <c r="H15" s="7" t="n">
        <v>1</v>
      </c>
    </row>
    <row r="16" customFormat="false" ht="15" hidden="false" customHeight="true" outlineLevel="0" collapsed="false">
      <c r="A16" s="7" t="s">
        <v>549</v>
      </c>
      <c r="B16" s="7" t="s">
        <v>515</v>
      </c>
      <c r="C16" s="7" t="s">
        <v>550</v>
      </c>
      <c r="D16" s="7" t="s">
        <v>64</v>
      </c>
      <c r="E16" s="17" t="s">
        <v>551</v>
      </c>
      <c r="F16" s="7" t="s">
        <v>503</v>
      </c>
      <c r="G16" s="17" t="s">
        <v>552</v>
      </c>
      <c r="H16" s="7" t="n">
        <v>1</v>
      </c>
    </row>
    <row r="17" customFormat="false" ht="15" hidden="false" customHeight="true" outlineLevel="0" collapsed="false">
      <c r="A17" s="7" t="s">
        <v>553</v>
      </c>
      <c r="B17" s="7" t="s">
        <v>515</v>
      </c>
      <c r="C17" s="7" t="s">
        <v>506</v>
      </c>
      <c r="D17" s="7"/>
      <c r="E17" s="17"/>
      <c r="F17" s="7" t="s">
        <v>507</v>
      </c>
      <c r="G17" s="17" t="s">
        <v>554</v>
      </c>
      <c r="H17" s="7" t="n">
        <v>1</v>
      </c>
    </row>
    <row r="18" customFormat="false" ht="15" hidden="false" customHeight="true" outlineLevel="0" collapsed="false">
      <c r="A18" s="7" t="s">
        <v>555</v>
      </c>
      <c r="B18" s="7" t="s">
        <v>515</v>
      </c>
      <c r="C18" s="7" t="s">
        <v>506</v>
      </c>
      <c r="D18" s="7"/>
      <c r="E18" s="17"/>
      <c r="F18" s="7" t="s">
        <v>507</v>
      </c>
      <c r="G18" s="17" t="s">
        <v>556</v>
      </c>
      <c r="H18" s="7" t="n">
        <v>1</v>
      </c>
    </row>
    <row r="19" customFormat="false" ht="15" hidden="false" customHeight="true" outlineLevel="0" collapsed="false">
      <c r="A19" s="7" t="s">
        <v>557</v>
      </c>
      <c r="B19" s="7" t="s">
        <v>515</v>
      </c>
      <c r="C19" s="7" t="s">
        <v>506</v>
      </c>
      <c r="D19" s="7"/>
      <c r="E19" s="17"/>
      <c r="F19" s="7" t="s">
        <v>507</v>
      </c>
      <c r="G19" s="17" t="s">
        <v>558</v>
      </c>
      <c r="H19" s="7" t="n">
        <v>1</v>
      </c>
    </row>
  </sheetData>
  <autoFilter ref="A3:H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8"/>
    <col collapsed="false" customWidth="true" hidden="false" outlineLevel="0" max="4" min="4" style="1" width="16"/>
    <col collapsed="false" customWidth="true" hidden="false" outlineLevel="0" max="5" min="5" style="1" width="22"/>
    <col collapsed="false" customWidth="true" hidden="false" outlineLevel="0" max="6" min="6" style="1" width="80"/>
  </cols>
  <sheetData>
    <row r="1" customFormat="false" ht="30" hidden="false" customHeight="true" outlineLevel="0" collapsed="false">
      <c r="A1" s="22" t="s">
        <v>559</v>
      </c>
    </row>
    <row r="3" customFormat="false" ht="23.25" hidden="false" customHeight="true" outlineLevel="0" collapsed="false">
      <c r="A3" s="6" t="s">
        <v>560</v>
      </c>
      <c r="B3" s="6" t="s">
        <v>13</v>
      </c>
      <c r="C3" s="6" t="s">
        <v>53</v>
      </c>
      <c r="D3" s="6" t="s">
        <v>14</v>
      </c>
      <c r="E3" s="6" t="s">
        <v>57</v>
      </c>
      <c r="F3" s="6" t="s">
        <v>296</v>
      </c>
    </row>
    <row r="4" customFormat="false" ht="15" hidden="false" customHeight="true" outlineLevel="0" collapsed="false">
      <c r="A4" s="7" t="s">
        <v>561</v>
      </c>
      <c r="B4" s="7" t="s">
        <v>390</v>
      </c>
      <c r="C4" s="7" t="s">
        <v>228</v>
      </c>
      <c r="D4" s="7" t="s">
        <v>19</v>
      </c>
      <c r="E4" s="7" t="s">
        <v>77</v>
      </c>
      <c r="F4" s="17" t="s">
        <v>391</v>
      </c>
    </row>
    <row r="5" customFormat="false" ht="15" hidden="false" customHeight="true" outlineLevel="0" collapsed="false">
      <c r="A5" s="7" t="s">
        <v>561</v>
      </c>
      <c r="B5" s="7" t="s">
        <v>392</v>
      </c>
      <c r="C5" s="7" t="s">
        <v>228</v>
      </c>
      <c r="D5" s="7" t="s">
        <v>19</v>
      </c>
      <c r="E5" s="7" t="s">
        <v>77</v>
      </c>
      <c r="F5" s="17" t="s">
        <v>393</v>
      </c>
    </row>
    <row r="6" customFormat="false" ht="23.25" hidden="false" customHeight="true" outlineLevel="0" collapsed="false">
      <c r="A6" s="7" t="s">
        <v>561</v>
      </c>
      <c r="B6" s="7" t="s">
        <v>562</v>
      </c>
      <c r="C6" s="7" t="s">
        <v>116</v>
      </c>
      <c r="D6" s="7" t="s">
        <v>19</v>
      </c>
      <c r="E6" s="7" t="s">
        <v>77</v>
      </c>
      <c r="F6" s="17" t="s">
        <v>563</v>
      </c>
    </row>
    <row r="7" customFormat="false" ht="23.25" hidden="false" customHeight="true" outlineLevel="0" collapsed="false">
      <c r="A7" s="7" t="s">
        <v>561</v>
      </c>
      <c r="B7" s="7" t="s">
        <v>564</v>
      </c>
      <c r="C7" s="7"/>
      <c r="D7" s="7" t="s">
        <v>19</v>
      </c>
      <c r="E7" s="7" t="s">
        <v>77</v>
      </c>
      <c r="F7" s="17" t="s">
        <v>565</v>
      </c>
    </row>
    <row r="8" customFormat="false" ht="15" hidden="false" customHeight="true" outlineLevel="0" collapsed="false">
      <c r="A8" s="7" t="s">
        <v>566</v>
      </c>
      <c r="B8" s="7" t="s">
        <v>567</v>
      </c>
      <c r="C8" s="7" t="s">
        <v>413</v>
      </c>
      <c r="D8" s="7" t="s">
        <v>20</v>
      </c>
      <c r="E8" s="7" t="s">
        <v>77</v>
      </c>
      <c r="F8" s="17" t="s">
        <v>568</v>
      </c>
    </row>
    <row r="9" customFormat="false" ht="15" hidden="false" customHeight="true" outlineLevel="0" collapsed="false">
      <c r="A9" s="7" t="s">
        <v>566</v>
      </c>
      <c r="B9" s="7" t="s">
        <v>569</v>
      </c>
      <c r="C9" s="7" t="s">
        <v>413</v>
      </c>
      <c r="D9" s="7" t="s">
        <v>20</v>
      </c>
      <c r="E9" s="7" t="s">
        <v>77</v>
      </c>
      <c r="F9" s="17" t="s">
        <v>570</v>
      </c>
    </row>
    <row r="10" customFormat="false" ht="15" hidden="false" customHeight="true" outlineLevel="0" collapsed="false">
      <c r="A10" s="7" t="s">
        <v>566</v>
      </c>
      <c r="B10" s="7" t="s">
        <v>571</v>
      </c>
      <c r="C10" s="7" t="s">
        <v>160</v>
      </c>
      <c r="D10" s="7" t="s">
        <v>20</v>
      </c>
      <c r="E10" s="7" t="s">
        <v>77</v>
      </c>
      <c r="F10" s="17" t="s">
        <v>572</v>
      </c>
    </row>
    <row r="11" customFormat="false" ht="15" hidden="false" customHeight="true" outlineLevel="0" collapsed="false">
      <c r="A11" s="7" t="s">
        <v>566</v>
      </c>
      <c r="B11" s="7" t="s">
        <v>573</v>
      </c>
      <c r="C11" s="7" t="s">
        <v>316</v>
      </c>
      <c r="D11" s="7" t="s">
        <v>20</v>
      </c>
      <c r="E11" s="7" t="s">
        <v>77</v>
      </c>
      <c r="F11" s="17" t="s">
        <v>574</v>
      </c>
    </row>
    <row r="12" customFormat="false" ht="15" hidden="false" customHeight="true" outlineLevel="0" collapsed="false">
      <c r="A12" s="7" t="s">
        <v>566</v>
      </c>
      <c r="B12" s="7" t="s">
        <v>575</v>
      </c>
      <c r="C12" s="7" t="s">
        <v>107</v>
      </c>
      <c r="D12" s="7" t="s">
        <v>20</v>
      </c>
      <c r="E12" s="7" t="s">
        <v>77</v>
      </c>
      <c r="F12" s="17" t="s">
        <v>576</v>
      </c>
    </row>
    <row r="13" customFormat="false" ht="15" hidden="false" customHeight="true" outlineLevel="0" collapsed="false">
      <c r="A13" s="7" t="s">
        <v>566</v>
      </c>
      <c r="B13" s="7" t="s">
        <v>275</v>
      </c>
      <c r="C13" s="7" t="s">
        <v>122</v>
      </c>
      <c r="D13" s="7" t="s">
        <v>20</v>
      </c>
      <c r="E13" s="7" t="s">
        <v>77</v>
      </c>
      <c r="F13" s="17" t="s">
        <v>278</v>
      </c>
    </row>
    <row r="14" customFormat="false" ht="23.25" hidden="false" customHeight="true" outlineLevel="0" collapsed="false">
      <c r="A14" s="7" t="s">
        <v>566</v>
      </c>
      <c r="B14" s="7" t="s">
        <v>121</v>
      </c>
      <c r="C14" s="7" t="s">
        <v>122</v>
      </c>
      <c r="D14" s="7" t="s">
        <v>90</v>
      </c>
      <c r="E14" s="7" t="s">
        <v>77</v>
      </c>
      <c r="F14" s="17" t="s">
        <v>124</v>
      </c>
    </row>
    <row r="15" customFormat="false" ht="15" hidden="false" customHeight="true" outlineLevel="0" collapsed="false">
      <c r="A15" s="7" t="s">
        <v>566</v>
      </c>
      <c r="B15" s="7" t="s">
        <v>577</v>
      </c>
      <c r="C15" s="7" t="s">
        <v>176</v>
      </c>
      <c r="D15" s="7" t="s">
        <v>20</v>
      </c>
      <c r="E15" s="7" t="s">
        <v>77</v>
      </c>
      <c r="F15" s="17" t="s">
        <v>578</v>
      </c>
    </row>
    <row r="16" customFormat="false" ht="15" hidden="false" customHeight="true" outlineLevel="0" collapsed="false">
      <c r="A16" s="7" t="s">
        <v>566</v>
      </c>
      <c r="B16" s="7" t="s">
        <v>579</v>
      </c>
      <c r="C16" s="7" t="s">
        <v>101</v>
      </c>
      <c r="D16" s="7" t="s">
        <v>20</v>
      </c>
      <c r="E16" s="7" t="s">
        <v>118</v>
      </c>
      <c r="F16" s="17" t="s">
        <v>580</v>
      </c>
    </row>
    <row r="17" customFormat="false" ht="15" hidden="false" customHeight="true" outlineLevel="0" collapsed="false">
      <c r="A17" s="7" t="s">
        <v>566</v>
      </c>
      <c r="B17" s="7" t="s">
        <v>581</v>
      </c>
      <c r="C17" s="7" t="s">
        <v>582</v>
      </c>
      <c r="D17" s="7" t="s">
        <v>20</v>
      </c>
      <c r="E17" s="7" t="s">
        <v>68</v>
      </c>
      <c r="F17" s="17" t="s">
        <v>583</v>
      </c>
    </row>
    <row r="18" customFormat="false" ht="15" hidden="false" customHeight="true" outlineLevel="0" collapsed="false">
      <c r="A18" s="7" t="s">
        <v>584</v>
      </c>
      <c r="B18" s="7" t="s">
        <v>585</v>
      </c>
      <c r="C18" s="7" t="s">
        <v>218</v>
      </c>
      <c r="D18" s="7" t="s">
        <v>19</v>
      </c>
      <c r="E18" s="7" t="s">
        <v>77</v>
      </c>
      <c r="F18" s="17" t="s">
        <v>586</v>
      </c>
    </row>
    <row r="19" customFormat="false" ht="15" hidden="false" customHeight="true" outlineLevel="0" collapsed="false">
      <c r="A19" s="7" t="s">
        <v>584</v>
      </c>
      <c r="B19" s="7" t="s">
        <v>587</v>
      </c>
      <c r="C19" s="7" t="s">
        <v>63</v>
      </c>
      <c r="D19" s="7" t="s">
        <v>19</v>
      </c>
      <c r="E19" s="7" t="s">
        <v>77</v>
      </c>
      <c r="F19" s="17" t="s">
        <v>588</v>
      </c>
    </row>
    <row r="20" customFormat="false" ht="15" hidden="false" customHeight="true" outlineLevel="0" collapsed="false">
      <c r="A20" s="7" t="s">
        <v>584</v>
      </c>
      <c r="B20" s="7" t="s">
        <v>86</v>
      </c>
      <c r="C20" s="7" t="s">
        <v>87</v>
      </c>
      <c r="D20" s="7" t="s">
        <v>90</v>
      </c>
      <c r="E20" s="7" t="s">
        <v>77</v>
      </c>
      <c r="F20" s="17" t="s">
        <v>92</v>
      </c>
    </row>
    <row r="21" customFormat="false" ht="15" hidden="false" customHeight="true" outlineLevel="0" collapsed="false">
      <c r="A21" s="7" t="s">
        <v>584</v>
      </c>
      <c r="B21" s="7" t="s">
        <v>589</v>
      </c>
      <c r="C21" s="7" t="s">
        <v>73</v>
      </c>
      <c r="D21" s="7" t="s">
        <v>76</v>
      </c>
      <c r="E21" s="7" t="s">
        <v>77</v>
      </c>
      <c r="F21" s="17" t="s">
        <v>590</v>
      </c>
    </row>
    <row r="22" customFormat="false" ht="23.25" hidden="false" customHeight="true" outlineLevel="0" collapsed="false">
      <c r="A22" s="7" t="s">
        <v>584</v>
      </c>
      <c r="B22" s="7" t="s">
        <v>591</v>
      </c>
      <c r="C22" s="7" t="s">
        <v>224</v>
      </c>
      <c r="D22" s="7" t="s">
        <v>19</v>
      </c>
      <c r="E22" s="7" t="s">
        <v>77</v>
      </c>
      <c r="F22" s="17" t="s">
        <v>592</v>
      </c>
    </row>
    <row r="23" customFormat="false" ht="15" hidden="false" customHeight="true" outlineLevel="0" collapsed="false">
      <c r="A23" s="7" t="s">
        <v>584</v>
      </c>
      <c r="B23" s="7" t="s">
        <v>303</v>
      </c>
      <c r="C23" s="7" t="s">
        <v>154</v>
      </c>
      <c r="D23" s="7" t="s">
        <v>90</v>
      </c>
      <c r="E23" s="7" t="s">
        <v>77</v>
      </c>
      <c r="F23" s="17" t="s">
        <v>304</v>
      </c>
    </row>
    <row r="24" customFormat="false" ht="23.25" hidden="false" customHeight="true" outlineLevel="0" collapsed="false">
      <c r="A24" s="7" t="s">
        <v>584</v>
      </c>
      <c r="B24" s="7" t="s">
        <v>153</v>
      </c>
      <c r="C24" s="7" t="s">
        <v>154</v>
      </c>
      <c r="D24" s="7" t="s">
        <v>20</v>
      </c>
      <c r="E24" s="7" t="s">
        <v>77</v>
      </c>
      <c r="F24" s="17" t="s">
        <v>157</v>
      </c>
    </row>
    <row r="25" customFormat="false" ht="15" hidden="false" customHeight="true" outlineLevel="0" collapsed="false">
      <c r="A25" s="7" t="s">
        <v>584</v>
      </c>
      <c r="B25" s="7" t="s">
        <v>593</v>
      </c>
      <c r="C25" s="7" t="s">
        <v>95</v>
      </c>
      <c r="D25" s="7" t="s">
        <v>20</v>
      </c>
      <c r="E25" s="7" t="s">
        <v>77</v>
      </c>
      <c r="F25" s="17" t="s">
        <v>594</v>
      </c>
    </row>
    <row r="26" customFormat="false" ht="15" hidden="false" customHeight="true" outlineLevel="0" collapsed="false">
      <c r="A26" s="7" t="s">
        <v>584</v>
      </c>
      <c r="B26" s="7" t="s">
        <v>94</v>
      </c>
      <c r="C26" s="7" t="s">
        <v>95</v>
      </c>
      <c r="D26" s="7" t="s">
        <v>90</v>
      </c>
      <c r="E26" s="7" t="s">
        <v>77</v>
      </c>
      <c r="F26" s="17" t="s">
        <v>98</v>
      </c>
    </row>
    <row r="27" customFormat="false" ht="15" hidden="false" customHeight="true" outlineLevel="0" collapsed="false">
      <c r="A27" s="7" t="s">
        <v>584</v>
      </c>
      <c r="B27" s="7" t="s">
        <v>390</v>
      </c>
      <c r="C27" s="7" t="s">
        <v>228</v>
      </c>
      <c r="D27" s="7" t="s">
        <v>19</v>
      </c>
      <c r="E27" s="7" t="s">
        <v>77</v>
      </c>
      <c r="F27" s="17" t="s">
        <v>391</v>
      </c>
    </row>
    <row r="28" customFormat="false" ht="15" hidden="false" customHeight="true" outlineLevel="0" collapsed="false">
      <c r="A28" s="7" t="s">
        <v>584</v>
      </c>
      <c r="B28" s="7" t="s">
        <v>394</v>
      </c>
      <c r="C28" s="7" t="s">
        <v>228</v>
      </c>
      <c r="D28" s="7" t="s">
        <v>19</v>
      </c>
      <c r="E28" s="7" t="s">
        <v>77</v>
      </c>
      <c r="F28" s="17" t="s">
        <v>395</v>
      </c>
    </row>
    <row r="29" customFormat="false" ht="45.75" hidden="false" customHeight="true" outlineLevel="0" collapsed="false">
      <c r="A29" s="7" t="s">
        <v>584</v>
      </c>
      <c r="B29" s="7" t="s">
        <v>195</v>
      </c>
      <c r="C29" s="7" t="s">
        <v>196</v>
      </c>
      <c r="D29" s="7" t="s">
        <v>20</v>
      </c>
      <c r="E29" s="7" t="s">
        <v>77</v>
      </c>
      <c r="F29" s="17" t="s">
        <v>199</v>
      </c>
    </row>
    <row r="30" customFormat="false" ht="15" hidden="false" customHeight="true" outlineLevel="0" collapsed="false">
      <c r="A30" s="7" t="s">
        <v>584</v>
      </c>
      <c r="B30" s="7" t="s">
        <v>595</v>
      </c>
      <c r="C30" s="7" t="s">
        <v>196</v>
      </c>
      <c r="D30" s="7" t="s">
        <v>19</v>
      </c>
      <c r="E30" s="7" t="s">
        <v>77</v>
      </c>
      <c r="F30" s="17" t="s">
        <v>596</v>
      </c>
    </row>
    <row r="31" customFormat="false" ht="15" hidden="false" customHeight="true" outlineLevel="0" collapsed="false">
      <c r="A31" s="7" t="s">
        <v>584</v>
      </c>
      <c r="B31" s="7" t="s">
        <v>140</v>
      </c>
      <c r="C31" s="7" t="s">
        <v>141</v>
      </c>
      <c r="D31" s="7" t="s">
        <v>19</v>
      </c>
      <c r="E31" s="7" t="s">
        <v>77</v>
      </c>
      <c r="F31" s="17" t="s">
        <v>144</v>
      </c>
    </row>
    <row r="32" customFormat="false" ht="23.25" hidden="false" customHeight="true" outlineLevel="0" collapsed="false">
      <c r="A32" s="7" t="s">
        <v>584</v>
      </c>
      <c r="B32" s="7" t="s">
        <v>404</v>
      </c>
      <c r="C32" s="7" t="s">
        <v>141</v>
      </c>
      <c r="D32" s="7" t="s">
        <v>19</v>
      </c>
      <c r="E32" s="7" t="s">
        <v>77</v>
      </c>
      <c r="F32" s="17" t="s">
        <v>405</v>
      </c>
    </row>
    <row r="33" customFormat="false" ht="15" hidden="false" customHeight="true" outlineLevel="0" collapsed="false">
      <c r="A33" s="7" t="s">
        <v>584</v>
      </c>
      <c r="B33" s="7" t="s">
        <v>597</v>
      </c>
      <c r="C33" s="7" t="s">
        <v>141</v>
      </c>
      <c r="D33" s="7" t="s">
        <v>19</v>
      </c>
      <c r="E33" s="7" t="s">
        <v>77</v>
      </c>
      <c r="F33" s="17" t="s">
        <v>598</v>
      </c>
    </row>
    <row r="34" customFormat="false" ht="15" hidden="false" customHeight="true" outlineLevel="0" collapsed="false">
      <c r="A34" s="7" t="s">
        <v>584</v>
      </c>
      <c r="B34" s="7" t="s">
        <v>599</v>
      </c>
      <c r="C34" s="7" t="s">
        <v>413</v>
      </c>
      <c r="D34" s="7" t="s">
        <v>19</v>
      </c>
      <c r="E34" s="7" t="s">
        <v>77</v>
      </c>
      <c r="F34" s="17" t="s">
        <v>600</v>
      </c>
    </row>
    <row r="35" customFormat="false" ht="15" hidden="false" customHeight="true" outlineLevel="0" collapsed="false">
      <c r="A35" s="7" t="s">
        <v>584</v>
      </c>
      <c r="B35" s="7" t="s">
        <v>433</v>
      </c>
      <c r="C35" s="7" t="s">
        <v>434</v>
      </c>
      <c r="D35" s="7" t="s">
        <v>19</v>
      </c>
      <c r="E35" s="7" t="s">
        <v>77</v>
      </c>
      <c r="F35" s="17" t="s">
        <v>435</v>
      </c>
    </row>
    <row r="36" customFormat="false" ht="15" hidden="false" customHeight="true" outlineLevel="0" collapsed="false">
      <c r="A36" s="7" t="s">
        <v>584</v>
      </c>
      <c r="B36" s="7" t="s">
        <v>601</v>
      </c>
      <c r="C36" s="7" t="s">
        <v>148</v>
      </c>
      <c r="D36" s="7" t="s">
        <v>19</v>
      </c>
      <c r="E36" s="7" t="s">
        <v>77</v>
      </c>
      <c r="F36" s="17" t="s">
        <v>602</v>
      </c>
    </row>
    <row r="37" customFormat="false" ht="15" hidden="false" customHeight="true" outlineLevel="0" collapsed="false">
      <c r="A37" s="7" t="s">
        <v>584</v>
      </c>
      <c r="B37" s="7" t="s">
        <v>147</v>
      </c>
      <c r="C37" s="7" t="s">
        <v>148</v>
      </c>
      <c r="D37" s="7" t="s">
        <v>90</v>
      </c>
      <c r="E37" s="7" t="s">
        <v>77</v>
      </c>
      <c r="F37" s="17"/>
    </row>
    <row r="38" customFormat="false" ht="15" hidden="false" customHeight="true" outlineLevel="0" collapsed="false">
      <c r="A38" s="7" t="s">
        <v>584</v>
      </c>
      <c r="B38" s="7" t="s">
        <v>603</v>
      </c>
      <c r="C38" s="7" t="s">
        <v>148</v>
      </c>
      <c r="D38" s="7" t="s">
        <v>19</v>
      </c>
      <c r="E38" s="7" t="s">
        <v>77</v>
      </c>
      <c r="F38" s="17"/>
    </row>
    <row r="39" customFormat="false" ht="15" hidden="false" customHeight="true" outlineLevel="0" collapsed="false">
      <c r="A39" s="7" t="s">
        <v>584</v>
      </c>
      <c r="B39" s="7" t="s">
        <v>604</v>
      </c>
      <c r="C39" s="7" t="s">
        <v>325</v>
      </c>
      <c r="D39" s="7" t="s">
        <v>19</v>
      </c>
      <c r="E39" s="7" t="s">
        <v>77</v>
      </c>
      <c r="F39" s="17" t="s">
        <v>605</v>
      </c>
    </row>
    <row r="40" customFormat="false" ht="15" hidden="false" customHeight="true" outlineLevel="0" collapsed="false">
      <c r="A40" s="7" t="s">
        <v>584</v>
      </c>
      <c r="B40" s="7" t="s">
        <v>606</v>
      </c>
      <c r="C40" s="7" t="s">
        <v>325</v>
      </c>
      <c r="D40" s="7" t="s">
        <v>19</v>
      </c>
      <c r="E40" s="7" t="s">
        <v>118</v>
      </c>
      <c r="F40" s="17" t="s">
        <v>607</v>
      </c>
    </row>
    <row r="41" customFormat="false" ht="15" hidden="false" customHeight="true" outlineLevel="0" collapsed="false">
      <c r="A41" s="7" t="s">
        <v>584</v>
      </c>
      <c r="B41" s="7" t="s">
        <v>608</v>
      </c>
      <c r="C41" s="7" t="s">
        <v>325</v>
      </c>
      <c r="D41" s="7" t="s">
        <v>19</v>
      </c>
      <c r="E41" s="7" t="s">
        <v>77</v>
      </c>
      <c r="F41" s="17" t="s">
        <v>609</v>
      </c>
    </row>
    <row r="42" customFormat="false" ht="15" hidden="false" customHeight="true" outlineLevel="0" collapsed="false">
      <c r="A42" s="7" t="s">
        <v>584</v>
      </c>
      <c r="B42" s="7" t="s">
        <v>610</v>
      </c>
      <c r="C42" s="7" t="s">
        <v>325</v>
      </c>
      <c r="D42" s="7" t="s">
        <v>19</v>
      </c>
      <c r="E42" s="7" t="s">
        <v>77</v>
      </c>
      <c r="F42" s="17" t="s">
        <v>611</v>
      </c>
    </row>
    <row r="43" customFormat="false" ht="15" hidden="false" customHeight="true" outlineLevel="0" collapsed="false">
      <c r="A43" s="7" t="s">
        <v>584</v>
      </c>
      <c r="B43" s="7" t="s">
        <v>285</v>
      </c>
      <c r="C43" s="7" t="s">
        <v>116</v>
      </c>
      <c r="D43" s="7" t="s">
        <v>19</v>
      </c>
      <c r="E43" s="7" t="s">
        <v>77</v>
      </c>
      <c r="F43" s="17" t="s">
        <v>288</v>
      </c>
    </row>
    <row r="44" customFormat="false" ht="15" hidden="false" customHeight="true" outlineLevel="0" collapsed="false">
      <c r="A44" s="7" t="s">
        <v>584</v>
      </c>
      <c r="B44" s="7" t="s">
        <v>612</v>
      </c>
      <c r="C44" s="7" t="s">
        <v>116</v>
      </c>
      <c r="D44" s="7" t="s">
        <v>19</v>
      </c>
      <c r="E44" s="7" t="s">
        <v>77</v>
      </c>
      <c r="F44" s="17" t="s">
        <v>613</v>
      </c>
    </row>
    <row r="45" customFormat="false" ht="15" hidden="false" customHeight="true" outlineLevel="0" collapsed="false">
      <c r="A45" s="7" t="s">
        <v>584</v>
      </c>
      <c r="B45" s="7" t="s">
        <v>614</v>
      </c>
      <c r="C45" s="7" t="s">
        <v>330</v>
      </c>
      <c r="D45" s="7"/>
      <c r="E45" s="7"/>
      <c r="F45" s="17"/>
    </row>
    <row r="46" customFormat="false" ht="15" hidden="false" customHeight="true" outlineLevel="0" collapsed="false">
      <c r="A46" s="7" t="s">
        <v>584</v>
      </c>
      <c r="B46" s="7" t="s">
        <v>615</v>
      </c>
      <c r="C46" s="7" t="s">
        <v>122</v>
      </c>
      <c r="D46" s="7" t="s">
        <v>19</v>
      </c>
      <c r="E46" s="7" t="s">
        <v>77</v>
      </c>
      <c r="F46" s="17" t="s">
        <v>616</v>
      </c>
    </row>
    <row r="47" customFormat="false" ht="15" hidden="false" customHeight="true" outlineLevel="0" collapsed="false">
      <c r="A47" s="7" t="s">
        <v>584</v>
      </c>
      <c r="B47" s="7" t="s">
        <v>617</v>
      </c>
      <c r="C47" s="7" t="s">
        <v>466</v>
      </c>
      <c r="D47" s="7" t="s">
        <v>76</v>
      </c>
      <c r="E47" s="7" t="s">
        <v>77</v>
      </c>
      <c r="F47" s="17" t="s">
        <v>618</v>
      </c>
    </row>
    <row r="48" customFormat="false" ht="15" hidden="false" customHeight="true" outlineLevel="0" collapsed="false">
      <c r="A48" s="7" t="s">
        <v>584</v>
      </c>
      <c r="B48" s="7" t="s">
        <v>619</v>
      </c>
      <c r="C48" s="7" t="s">
        <v>101</v>
      </c>
      <c r="D48" s="7" t="s">
        <v>76</v>
      </c>
      <c r="E48" s="7" t="s">
        <v>77</v>
      </c>
      <c r="F48" s="17" t="s">
        <v>620</v>
      </c>
    </row>
    <row r="49" customFormat="false" ht="15" hidden="false" customHeight="true" outlineLevel="0" collapsed="false">
      <c r="A49" s="7" t="s">
        <v>584</v>
      </c>
      <c r="B49" s="7" t="s">
        <v>100</v>
      </c>
      <c r="C49" s="7" t="s">
        <v>101</v>
      </c>
      <c r="D49" s="7" t="s">
        <v>90</v>
      </c>
      <c r="E49" s="7" t="s">
        <v>77</v>
      </c>
      <c r="F49" s="17" t="s">
        <v>104</v>
      </c>
    </row>
    <row r="50" customFormat="false" ht="15" hidden="false" customHeight="true" outlineLevel="0" collapsed="false">
      <c r="A50" s="7" t="s">
        <v>584</v>
      </c>
      <c r="B50" s="7" t="s">
        <v>621</v>
      </c>
      <c r="C50" s="7" t="s">
        <v>101</v>
      </c>
      <c r="D50" s="7" t="s">
        <v>19</v>
      </c>
      <c r="E50" s="7" t="s">
        <v>77</v>
      </c>
      <c r="F50" s="17" t="s">
        <v>622</v>
      </c>
    </row>
    <row r="51" customFormat="false" ht="15" hidden="false" customHeight="true" outlineLevel="0" collapsed="false">
      <c r="A51" s="7" t="s">
        <v>584</v>
      </c>
      <c r="B51" s="7" t="s">
        <v>480</v>
      </c>
      <c r="C51" s="7" t="s">
        <v>101</v>
      </c>
      <c r="D51" s="7" t="s">
        <v>19</v>
      </c>
      <c r="E51" s="7" t="s">
        <v>77</v>
      </c>
      <c r="F51" s="17" t="s">
        <v>481</v>
      </c>
    </row>
    <row r="52" customFormat="false" ht="15" hidden="false" customHeight="true" outlineLevel="0" collapsed="false">
      <c r="A52" s="7" t="s">
        <v>584</v>
      </c>
      <c r="B52" s="7" t="s">
        <v>257</v>
      </c>
      <c r="C52" s="7" t="s">
        <v>171</v>
      </c>
      <c r="D52" s="7" t="s">
        <v>76</v>
      </c>
      <c r="E52" s="7" t="s">
        <v>68</v>
      </c>
      <c r="F52" s="17" t="s">
        <v>258</v>
      </c>
    </row>
    <row r="53" customFormat="false" ht="23.25" hidden="false" customHeight="true" outlineLevel="0" collapsed="false">
      <c r="A53" s="7" t="s">
        <v>623</v>
      </c>
      <c r="B53" s="7" t="s">
        <v>624</v>
      </c>
      <c r="C53" s="7" t="s">
        <v>127</v>
      </c>
      <c r="D53" s="7" t="s">
        <v>19</v>
      </c>
      <c r="E53" s="7" t="s">
        <v>118</v>
      </c>
      <c r="F53" s="17" t="s">
        <v>625</v>
      </c>
    </row>
    <row r="54" customFormat="false" ht="15" hidden="false" customHeight="true" outlineLevel="0" collapsed="false">
      <c r="A54" s="7" t="s">
        <v>623</v>
      </c>
      <c r="B54" s="7" t="s">
        <v>626</v>
      </c>
      <c r="C54" s="7" t="s">
        <v>127</v>
      </c>
      <c r="D54" s="7" t="s">
        <v>19</v>
      </c>
      <c r="E54" s="7" t="s">
        <v>118</v>
      </c>
      <c r="F54" s="17" t="s">
        <v>627</v>
      </c>
    </row>
    <row r="55" customFormat="false" ht="23.25" hidden="false" customHeight="true" outlineLevel="0" collapsed="false">
      <c r="A55" s="7" t="s">
        <v>623</v>
      </c>
      <c r="B55" s="7" t="s">
        <v>461</v>
      </c>
      <c r="C55" s="7" t="s">
        <v>208</v>
      </c>
      <c r="D55" s="7" t="s">
        <v>19</v>
      </c>
      <c r="E55" s="7" t="s">
        <v>118</v>
      </c>
      <c r="F55" s="17" t="s">
        <v>462</v>
      </c>
    </row>
    <row r="56" customFormat="false" ht="23.25" hidden="false" customHeight="true" outlineLevel="0" collapsed="false">
      <c r="A56" s="7" t="s">
        <v>623</v>
      </c>
      <c r="B56" s="7" t="s">
        <v>207</v>
      </c>
      <c r="C56" s="7" t="s">
        <v>208</v>
      </c>
      <c r="D56" s="7" t="s">
        <v>76</v>
      </c>
      <c r="E56" s="7" t="s">
        <v>118</v>
      </c>
      <c r="F56" s="17" t="s">
        <v>210</v>
      </c>
    </row>
    <row r="57" customFormat="false" ht="15" hidden="false" customHeight="true" outlineLevel="0" collapsed="false">
      <c r="A57" s="7" t="s">
        <v>623</v>
      </c>
      <c r="B57" s="7" t="s">
        <v>175</v>
      </c>
      <c r="C57" s="7" t="s">
        <v>176</v>
      </c>
      <c r="D57" s="7" t="s">
        <v>76</v>
      </c>
      <c r="E57" s="7" t="s">
        <v>118</v>
      </c>
      <c r="F57" s="17" t="s">
        <v>179</v>
      </c>
    </row>
    <row r="58" customFormat="false" ht="15" hidden="false" customHeight="true" outlineLevel="0" collapsed="false">
      <c r="A58" s="7" t="s">
        <v>623</v>
      </c>
      <c r="B58" s="7" t="s">
        <v>628</v>
      </c>
      <c r="C58" s="7" t="s">
        <v>101</v>
      </c>
      <c r="D58" s="7" t="s">
        <v>76</v>
      </c>
      <c r="E58" s="7" t="s">
        <v>118</v>
      </c>
      <c r="F58" s="17" t="s">
        <v>629</v>
      </c>
    </row>
    <row r="59" customFormat="false" ht="15" hidden="false" customHeight="true" outlineLevel="0" collapsed="false">
      <c r="A59" s="7" t="s">
        <v>623</v>
      </c>
      <c r="B59" s="7" t="s">
        <v>338</v>
      </c>
      <c r="C59" s="7" t="s">
        <v>171</v>
      </c>
      <c r="D59" s="7" t="s">
        <v>90</v>
      </c>
      <c r="E59" s="7" t="s">
        <v>118</v>
      </c>
      <c r="F59" s="17" t="s">
        <v>339</v>
      </c>
    </row>
    <row r="60" customFormat="false" ht="15" hidden="false" customHeight="true" outlineLevel="0" collapsed="false">
      <c r="A60" s="7" t="s">
        <v>623</v>
      </c>
      <c r="B60" s="7" t="s">
        <v>630</v>
      </c>
      <c r="C60" s="7" t="s">
        <v>171</v>
      </c>
      <c r="D60" s="7" t="s">
        <v>90</v>
      </c>
      <c r="E60" s="7" t="s">
        <v>68</v>
      </c>
      <c r="F60" s="17" t="s">
        <v>631</v>
      </c>
    </row>
    <row r="61" customFormat="false" ht="23.25" hidden="false" customHeight="true" outlineLevel="0" collapsed="false">
      <c r="A61" s="7" t="s">
        <v>632</v>
      </c>
      <c r="B61" s="7" t="s">
        <v>633</v>
      </c>
      <c r="C61" s="7" t="s">
        <v>148</v>
      </c>
      <c r="D61" s="7" t="s">
        <v>19</v>
      </c>
      <c r="E61" s="7" t="s">
        <v>77</v>
      </c>
      <c r="F61" s="17" t="s">
        <v>634</v>
      </c>
    </row>
    <row r="62" customFormat="false" ht="23.25" hidden="false" customHeight="true" outlineLevel="0" collapsed="false">
      <c r="A62" s="7" t="s">
        <v>632</v>
      </c>
      <c r="B62" s="7" t="s">
        <v>635</v>
      </c>
      <c r="C62" s="7" t="s">
        <v>176</v>
      </c>
      <c r="D62" s="7" t="s">
        <v>19</v>
      </c>
      <c r="E62" s="7" t="s">
        <v>636</v>
      </c>
      <c r="F62" s="17" t="s">
        <v>637</v>
      </c>
    </row>
    <row r="63" customFormat="false" ht="23.25" hidden="false" customHeight="true" outlineLevel="0" collapsed="false">
      <c r="A63" s="7" t="s">
        <v>632</v>
      </c>
      <c r="B63" s="7" t="s">
        <v>638</v>
      </c>
      <c r="C63" s="7" t="s">
        <v>171</v>
      </c>
      <c r="D63" s="7" t="s">
        <v>19</v>
      </c>
      <c r="E63" s="7" t="s">
        <v>636</v>
      </c>
      <c r="F63" s="17" t="s">
        <v>637</v>
      </c>
    </row>
    <row r="64" customFormat="false" ht="23.25" hidden="false" customHeight="true" outlineLevel="0" collapsed="false">
      <c r="A64" s="7" t="s">
        <v>639</v>
      </c>
      <c r="B64" s="7" t="s">
        <v>640</v>
      </c>
      <c r="C64" s="7" t="s">
        <v>218</v>
      </c>
      <c r="D64" s="7" t="s">
        <v>76</v>
      </c>
      <c r="E64" s="7" t="s">
        <v>77</v>
      </c>
      <c r="F64" s="17" t="s">
        <v>641</v>
      </c>
    </row>
    <row r="65" customFormat="false" ht="15" hidden="false" customHeight="true" outlineLevel="0" collapsed="false">
      <c r="A65" s="7" t="s">
        <v>639</v>
      </c>
      <c r="B65" s="7" t="s">
        <v>353</v>
      </c>
      <c r="C65" s="7" t="s">
        <v>347</v>
      </c>
      <c r="D65" s="7" t="s">
        <v>19</v>
      </c>
      <c r="E65" s="7" t="s">
        <v>77</v>
      </c>
      <c r="F65" s="17" t="s">
        <v>354</v>
      </c>
    </row>
    <row r="66" customFormat="false" ht="15" hidden="false" customHeight="true" outlineLevel="0" collapsed="false">
      <c r="A66" s="7" t="s">
        <v>639</v>
      </c>
      <c r="B66" s="7" t="s">
        <v>642</v>
      </c>
      <c r="C66" s="7" t="s">
        <v>63</v>
      </c>
      <c r="D66" s="7" t="s">
        <v>19</v>
      </c>
      <c r="E66" s="7" t="s">
        <v>77</v>
      </c>
      <c r="F66" s="17" t="s">
        <v>643</v>
      </c>
    </row>
    <row r="67" customFormat="false" ht="15" hidden="false" customHeight="true" outlineLevel="0" collapsed="false">
      <c r="A67" s="7" t="s">
        <v>639</v>
      </c>
      <c r="B67" s="7" t="s">
        <v>644</v>
      </c>
      <c r="C67" s="7" t="s">
        <v>63</v>
      </c>
      <c r="D67" s="7" t="s">
        <v>67</v>
      </c>
      <c r="E67" s="7" t="s">
        <v>77</v>
      </c>
      <c r="F67" s="17" t="s">
        <v>645</v>
      </c>
    </row>
    <row r="68" customFormat="false" ht="15" hidden="false" customHeight="true" outlineLevel="0" collapsed="false">
      <c r="A68" s="7" t="s">
        <v>639</v>
      </c>
      <c r="B68" s="7" t="s">
        <v>646</v>
      </c>
      <c r="C68" s="7" t="s">
        <v>87</v>
      </c>
      <c r="D68" s="7" t="s">
        <v>67</v>
      </c>
      <c r="E68" s="7" t="s">
        <v>77</v>
      </c>
      <c r="F68" s="17" t="s">
        <v>645</v>
      </c>
    </row>
    <row r="69" customFormat="false" ht="15" hidden="false" customHeight="true" outlineLevel="0" collapsed="false">
      <c r="A69" s="7" t="s">
        <v>639</v>
      </c>
      <c r="B69" s="7" t="s">
        <v>647</v>
      </c>
      <c r="C69" s="7" t="s">
        <v>87</v>
      </c>
      <c r="D69" s="7" t="s">
        <v>19</v>
      </c>
      <c r="E69" s="7" t="s">
        <v>77</v>
      </c>
      <c r="F69" s="17" t="s">
        <v>648</v>
      </c>
    </row>
    <row r="70" customFormat="false" ht="15" hidden="false" customHeight="true" outlineLevel="0" collapsed="false">
      <c r="A70" s="7" t="s">
        <v>639</v>
      </c>
      <c r="B70" s="7" t="s">
        <v>649</v>
      </c>
      <c r="C70" s="7" t="s">
        <v>73</v>
      </c>
      <c r="D70" s="7" t="s">
        <v>67</v>
      </c>
      <c r="E70" s="7" t="s">
        <v>77</v>
      </c>
      <c r="F70" s="17" t="s">
        <v>650</v>
      </c>
    </row>
    <row r="71" customFormat="false" ht="15" hidden="false" customHeight="true" outlineLevel="0" collapsed="false">
      <c r="A71" s="7" t="s">
        <v>639</v>
      </c>
      <c r="B71" s="7" t="s">
        <v>651</v>
      </c>
      <c r="C71" s="7" t="s">
        <v>73</v>
      </c>
      <c r="D71" s="7" t="s">
        <v>67</v>
      </c>
      <c r="E71" s="7" t="s">
        <v>77</v>
      </c>
      <c r="F71" s="17" t="s">
        <v>652</v>
      </c>
    </row>
    <row r="72" customFormat="false" ht="15" hidden="false" customHeight="true" outlineLevel="0" collapsed="false">
      <c r="A72" s="7" t="s">
        <v>639</v>
      </c>
      <c r="B72" s="7" t="s">
        <v>653</v>
      </c>
      <c r="C72" s="7" t="s">
        <v>224</v>
      </c>
      <c r="D72" s="7" t="s">
        <v>76</v>
      </c>
      <c r="E72" s="7" t="s">
        <v>77</v>
      </c>
      <c r="F72" s="17" t="s">
        <v>654</v>
      </c>
    </row>
    <row r="73" customFormat="false" ht="15" hidden="false" customHeight="true" outlineLevel="0" collapsed="false">
      <c r="A73" s="7" t="s">
        <v>639</v>
      </c>
      <c r="B73" s="7" t="s">
        <v>655</v>
      </c>
      <c r="C73" s="7" t="s">
        <v>224</v>
      </c>
      <c r="D73" s="7" t="s">
        <v>76</v>
      </c>
      <c r="E73" s="7" t="s">
        <v>77</v>
      </c>
      <c r="F73" s="17" t="s">
        <v>656</v>
      </c>
    </row>
    <row r="74" customFormat="false" ht="15" hidden="false" customHeight="true" outlineLevel="0" collapsed="false">
      <c r="A74" s="7" t="s">
        <v>639</v>
      </c>
      <c r="B74" s="7" t="s">
        <v>657</v>
      </c>
      <c r="C74" s="7" t="s">
        <v>265</v>
      </c>
      <c r="D74" s="7" t="s">
        <v>19</v>
      </c>
      <c r="E74" s="7" t="s">
        <v>77</v>
      </c>
      <c r="F74" s="17" t="s">
        <v>658</v>
      </c>
    </row>
    <row r="75" customFormat="false" ht="15" hidden="false" customHeight="true" outlineLevel="0" collapsed="false">
      <c r="A75" s="7" t="s">
        <v>639</v>
      </c>
      <c r="B75" s="7" t="s">
        <v>270</v>
      </c>
      <c r="C75" s="7" t="s">
        <v>154</v>
      </c>
      <c r="D75" s="7" t="s">
        <v>19</v>
      </c>
      <c r="E75" s="7" t="s">
        <v>77</v>
      </c>
      <c r="F75" s="17" t="s">
        <v>273</v>
      </c>
    </row>
    <row r="76" customFormat="false" ht="15" hidden="false" customHeight="true" outlineLevel="0" collapsed="false">
      <c r="A76" s="7" t="s">
        <v>639</v>
      </c>
      <c r="B76" s="7" t="s">
        <v>386</v>
      </c>
      <c r="C76" s="7" t="s">
        <v>154</v>
      </c>
      <c r="D76" s="7" t="s">
        <v>19</v>
      </c>
      <c r="E76" s="7" t="s">
        <v>77</v>
      </c>
      <c r="F76" s="17" t="s">
        <v>387</v>
      </c>
    </row>
    <row r="77" customFormat="false" ht="34.5" hidden="false" customHeight="true" outlineLevel="0" collapsed="false">
      <c r="A77" s="7" t="s">
        <v>639</v>
      </c>
      <c r="B77" s="7" t="s">
        <v>309</v>
      </c>
      <c r="C77" s="7" t="s">
        <v>228</v>
      </c>
      <c r="D77" s="7" t="s">
        <v>90</v>
      </c>
      <c r="E77" s="7" t="s">
        <v>77</v>
      </c>
      <c r="F77" s="17" t="s">
        <v>310</v>
      </c>
    </row>
    <row r="78" customFormat="false" ht="15" hidden="false" customHeight="true" outlineLevel="0" collapsed="false">
      <c r="A78" s="7" t="s">
        <v>639</v>
      </c>
      <c r="B78" s="7" t="s">
        <v>659</v>
      </c>
      <c r="C78" s="7" t="s">
        <v>141</v>
      </c>
      <c r="D78" s="7" t="s">
        <v>76</v>
      </c>
      <c r="E78" s="7" t="s">
        <v>77</v>
      </c>
      <c r="F78" s="17" t="s">
        <v>660</v>
      </c>
    </row>
    <row r="79" customFormat="false" ht="15" hidden="false" customHeight="true" outlineLevel="0" collapsed="false">
      <c r="A79" s="7" t="s">
        <v>639</v>
      </c>
      <c r="B79" s="7" t="s">
        <v>419</v>
      </c>
      <c r="C79" s="7" t="s">
        <v>413</v>
      </c>
      <c r="D79" s="7" t="s">
        <v>19</v>
      </c>
      <c r="E79" s="7" t="s">
        <v>77</v>
      </c>
      <c r="F79" s="17" t="s">
        <v>420</v>
      </c>
    </row>
    <row r="80" customFormat="false" ht="15" hidden="false" customHeight="true" outlineLevel="0" collapsed="false">
      <c r="A80" s="7" t="s">
        <v>639</v>
      </c>
      <c r="B80" s="7" t="s">
        <v>661</v>
      </c>
      <c r="C80" s="7" t="s">
        <v>160</v>
      </c>
      <c r="D80" s="7" t="s">
        <v>76</v>
      </c>
      <c r="E80" s="7" t="s">
        <v>77</v>
      </c>
      <c r="F80" s="17" t="s">
        <v>662</v>
      </c>
    </row>
    <row r="81" customFormat="false" ht="15" hidden="false" customHeight="true" outlineLevel="0" collapsed="false">
      <c r="A81" s="7" t="s">
        <v>639</v>
      </c>
      <c r="B81" s="7" t="s">
        <v>663</v>
      </c>
      <c r="C81" s="7" t="s">
        <v>148</v>
      </c>
      <c r="D81" s="7" t="s">
        <v>19</v>
      </c>
      <c r="E81" s="7" t="s">
        <v>77</v>
      </c>
      <c r="F81" s="17" t="s">
        <v>664</v>
      </c>
    </row>
    <row r="82" customFormat="false" ht="15" hidden="false" customHeight="true" outlineLevel="0" collapsed="false">
      <c r="A82" s="7" t="s">
        <v>639</v>
      </c>
      <c r="B82" s="7" t="s">
        <v>665</v>
      </c>
      <c r="C82" s="7" t="s">
        <v>325</v>
      </c>
      <c r="D82" s="7" t="s">
        <v>76</v>
      </c>
      <c r="E82" s="7" t="s">
        <v>77</v>
      </c>
      <c r="F82" s="17" t="s">
        <v>666</v>
      </c>
    </row>
    <row r="83" customFormat="false" ht="15" hidden="false" customHeight="true" outlineLevel="0" collapsed="false">
      <c r="A83" s="7" t="s">
        <v>639</v>
      </c>
      <c r="B83" s="7" t="s">
        <v>329</v>
      </c>
      <c r="C83" s="7" t="s">
        <v>330</v>
      </c>
      <c r="D83" s="7" t="s">
        <v>90</v>
      </c>
      <c r="E83" s="7" t="s">
        <v>77</v>
      </c>
      <c r="F83" s="17" t="s">
        <v>331</v>
      </c>
    </row>
    <row r="84" customFormat="false" ht="15" hidden="false" customHeight="true" outlineLevel="0" collapsed="false">
      <c r="A84" s="7" t="s">
        <v>639</v>
      </c>
      <c r="B84" s="7" t="s">
        <v>667</v>
      </c>
      <c r="C84" s="7" t="s">
        <v>453</v>
      </c>
      <c r="D84" s="7" t="s">
        <v>76</v>
      </c>
      <c r="E84" s="7" t="s">
        <v>77</v>
      </c>
      <c r="F84" s="17" t="s">
        <v>668</v>
      </c>
    </row>
    <row r="85" customFormat="false" ht="15" hidden="false" customHeight="true" outlineLevel="0" collapsed="false">
      <c r="A85" s="7" t="s">
        <v>639</v>
      </c>
      <c r="B85" s="7" t="s">
        <v>669</v>
      </c>
      <c r="C85" s="7" t="s">
        <v>453</v>
      </c>
      <c r="D85" s="7" t="s">
        <v>67</v>
      </c>
      <c r="E85" s="7" t="s">
        <v>77</v>
      </c>
      <c r="F85" s="17" t="s">
        <v>670</v>
      </c>
    </row>
    <row r="86" customFormat="false" ht="15" hidden="false" customHeight="true" outlineLevel="0" collapsed="false">
      <c r="A86" s="7" t="s">
        <v>639</v>
      </c>
      <c r="B86" s="7" t="s">
        <v>671</v>
      </c>
      <c r="C86" s="7" t="s">
        <v>122</v>
      </c>
      <c r="D86" s="7" t="s">
        <v>19</v>
      </c>
      <c r="E86" s="7" t="s">
        <v>77</v>
      </c>
      <c r="F86" s="17" t="s">
        <v>672</v>
      </c>
    </row>
    <row r="87" customFormat="false" ht="23.25" hidden="false" customHeight="true" outlineLevel="0" collapsed="false">
      <c r="A87" s="7" t="s">
        <v>639</v>
      </c>
      <c r="B87" s="7" t="s">
        <v>207</v>
      </c>
      <c r="C87" s="7" t="s">
        <v>208</v>
      </c>
      <c r="D87" s="7" t="s">
        <v>76</v>
      </c>
      <c r="E87" s="7" t="s">
        <v>118</v>
      </c>
      <c r="F87" s="17" t="s">
        <v>210</v>
      </c>
    </row>
    <row r="88" customFormat="false" ht="23.25" hidden="false" customHeight="true" outlineLevel="0" collapsed="false">
      <c r="A88" s="7" t="s">
        <v>639</v>
      </c>
      <c r="B88" s="7" t="s">
        <v>673</v>
      </c>
      <c r="C88" s="7" t="s">
        <v>466</v>
      </c>
      <c r="D88" s="7" t="s">
        <v>19</v>
      </c>
      <c r="E88" s="7" t="s">
        <v>77</v>
      </c>
      <c r="F88" s="17" t="s">
        <v>674</v>
      </c>
    </row>
    <row r="89" customFormat="false" ht="15" hidden="false" customHeight="true" outlineLevel="0" collapsed="false">
      <c r="A89" s="7" t="s">
        <v>639</v>
      </c>
      <c r="B89" s="7" t="s">
        <v>253</v>
      </c>
      <c r="C89" s="7" t="s">
        <v>101</v>
      </c>
      <c r="D89" s="7" t="s">
        <v>19</v>
      </c>
      <c r="E89" s="7" t="s">
        <v>68</v>
      </c>
      <c r="F89" s="17" t="s">
        <v>254</v>
      </c>
    </row>
    <row r="90" customFormat="false" ht="15" hidden="false" customHeight="true" outlineLevel="0" collapsed="false">
      <c r="A90" s="7" t="s">
        <v>639</v>
      </c>
      <c r="B90" s="7" t="s">
        <v>259</v>
      </c>
      <c r="C90" s="7" t="s">
        <v>171</v>
      </c>
      <c r="D90" s="7" t="s">
        <v>76</v>
      </c>
      <c r="E90" s="7" t="s">
        <v>68</v>
      </c>
      <c r="F90" s="17" t="s">
        <v>260</v>
      </c>
    </row>
    <row r="91" customFormat="false" ht="15" hidden="false" customHeight="true" outlineLevel="0" collapsed="false">
      <c r="A91" s="7" t="s">
        <v>639</v>
      </c>
      <c r="B91" s="7" t="s">
        <v>261</v>
      </c>
      <c r="C91" s="7" t="s">
        <v>262</v>
      </c>
      <c r="D91" s="7" t="s">
        <v>76</v>
      </c>
      <c r="E91" s="7" t="s">
        <v>68</v>
      </c>
      <c r="F91" s="17" t="s">
        <v>263</v>
      </c>
    </row>
    <row r="92" customFormat="false" ht="23.25" hidden="false" customHeight="true" outlineLevel="0" collapsed="false">
      <c r="A92" s="7" t="s">
        <v>639</v>
      </c>
      <c r="B92" s="7" t="s">
        <v>564</v>
      </c>
      <c r="C92" s="7"/>
      <c r="D92" s="7" t="s">
        <v>19</v>
      </c>
      <c r="E92" s="7" t="s">
        <v>77</v>
      </c>
      <c r="F92" s="17" t="s">
        <v>565</v>
      </c>
    </row>
    <row r="93" customFormat="false" ht="15" hidden="false" customHeight="true" outlineLevel="0" collapsed="false">
      <c r="A93" s="7" t="s">
        <v>675</v>
      </c>
      <c r="B93" s="7" t="s">
        <v>676</v>
      </c>
      <c r="C93" s="7" t="s">
        <v>116</v>
      </c>
      <c r="D93" s="7" t="s">
        <v>76</v>
      </c>
      <c r="E93" s="7" t="s">
        <v>77</v>
      </c>
      <c r="F93" s="17" t="s">
        <v>677</v>
      </c>
    </row>
    <row r="94" customFormat="false" ht="15" hidden="false" customHeight="true" outlineLevel="0" collapsed="false">
      <c r="A94" s="7" t="s">
        <v>675</v>
      </c>
      <c r="B94" s="7" t="s">
        <v>678</v>
      </c>
      <c r="C94" s="7" t="s">
        <v>127</v>
      </c>
      <c r="D94" s="7" t="s">
        <v>19</v>
      </c>
      <c r="E94" s="7" t="s">
        <v>77</v>
      </c>
      <c r="F94" s="17" t="s">
        <v>679</v>
      </c>
    </row>
  </sheetData>
  <autoFilter ref="A3:F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100"/>
  </cols>
  <sheetData>
    <row r="1" customFormat="false" ht="15" hidden="false" customHeight="true" outlineLevel="0" collapsed="false">
      <c r="A1" s="6" t="s">
        <v>680</v>
      </c>
      <c r="B1" s="6" t="s">
        <v>13</v>
      </c>
      <c r="C1" s="6" t="s">
        <v>681</v>
      </c>
    </row>
    <row r="2" customFormat="false" ht="15" hidden="false" customHeight="true" outlineLevel="0" collapsed="false">
      <c r="A2" s="7" t="s">
        <v>39</v>
      </c>
      <c r="B2" s="17" t="s">
        <v>289</v>
      </c>
      <c r="C2" s="17" t="s">
        <v>682</v>
      </c>
    </row>
    <row r="3" customFormat="false" ht="15" hidden="false" customHeight="true" outlineLevel="0" collapsed="false">
      <c r="A3" s="7" t="s">
        <v>683</v>
      </c>
      <c r="B3" s="17" t="s">
        <v>684</v>
      </c>
      <c r="C3" s="17" t="s">
        <v>685</v>
      </c>
    </row>
    <row r="4" customFormat="false" ht="15" hidden="false" customHeight="true" outlineLevel="0" collapsed="false">
      <c r="A4" s="7" t="s">
        <v>686</v>
      </c>
      <c r="B4" s="17" t="s">
        <v>140</v>
      </c>
      <c r="C4" s="17" t="s">
        <v>687</v>
      </c>
    </row>
    <row r="5" customFormat="false" ht="15" hidden="false" customHeight="true" outlineLevel="0" collapsed="false">
      <c r="A5" s="7" t="s">
        <v>688</v>
      </c>
      <c r="B5" s="17" t="s">
        <v>689</v>
      </c>
      <c r="C5" s="17" t="s">
        <v>690</v>
      </c>
    </row>
    <row r="6" customFormat="false" ht="15" hidden="false" customHeight="true" outlineLevel="0" collapsed="false">
      <c r="A6" s="7" t="s">
        <v>688</v>
      </c>
      <c r="B6" s="17" t="s">
        <v>463</v>
      </c>
      <c r="C6" s="17" t="s">
        <v>691</v>
      </c>
    </row>
    <row r="7" customFormat="false" ht="15" hidden="false" customHeight="true" outlineLevel="0" collapsed="false">
      <c r="A7" s="7" t="s">
        <v>692</v>
      </c>
      <c r="B7" s="17" t="s">
        <v>693</v>
      </c>
      <c r="C7" s="17" t="s">
        <v>694</v>
      </c>
    </row>
    <row r="8" customFormat="false" ht="23.25" hidden="false" customHeight="true" outlineLevel="0" collapsed="false">
      <c r="A8" s="7" t="s">
        <v>695</v>
      </c>
      <c r="B8" s="17" t="s">
        <v>696</v>
      </c>
      <c r="C8" s="17" t="s">
        <v>697</v>
      </c>
    </row>
    <row r="9" customFormat="false" ht="15" hidden="false" customHeight="true" outlineLevel="0" collapsed="false">
      <c r="A9" s="7" t="s">
        <v>698</v>
      </c>
      <c r="B9" s="17" t="s">
        <v>699</v>
      </c>
      <c r="C9" s="17" t="s">
        <v>700</v>
      </c>
    </row>
    <row r="10" customFormat="false" ht="15" hidden="false" customHeight="true" outlineLevel="0" collapsed="false">
      <c r="A10" s="7" t="s">
        <v>701</v>
      </c>
      <c r="B10" s="17" t="s">
        <v>78</v>
      </c>
      <c r="C10" s="17" t="s">
        <v>702</v>
      </c>
    </row>
    <row r="11" customFormat="false" ht="15" hidden="false" customHeight="true" outlineLevel="0" collapsed="false">
      <c r="A11" s="7" t="s">
        <v>703</v>
      </c>
      <c r="B11" s="17" t="s">
        <v>78</v>
      </c>
      <c r="C11" s="17" t="s">
        <v>704</v>
      </c>
    </row>
    <row r="12" customFormat="false" ht="15" hidden="false" customHeight="true" outlineLevel="0" collapsed="false">
      <c r="A12" s="7" t="s">
        <v>705</v>
      </c>
      <c r="B12" s="17" t="s">
        <v>78</v>
      </c>
      <c r="C12" s="17" t="s">
        <v>706</v>
      </c>
    </row>
    <row r="13" customFormat="false" ht="15" hidden="false" customHeight="true" outlineLevel="0" collapsed="false">
      <c r="A13" s="7" t="s">
        <v>707</v>
      </c>
      <c r="B13" s="17" t="s">
        <v>78</v>
      </c>
      <c r="C13" s="17" t="s">
        <v>708</v>
      </c>
    </row>
    <row r="14" customFormat="false" ht="23.25" hidden="false" customHeight="true" outlineLevel="0" collapsed="false">
      <c r="A14" s="7" t="s">
        <v>709</v>
      </c>
      <c r="B14" s="17" t="s">
        <v>78</v>
      </c>
      <c r="C14" s="17" t="s">
        <v>710</v>
      </c>
    </row>
  </sheetData>
  <autoFilter ref="A1:C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2026-09-28T09:12:42Z</dcterms:created>
  <dc:creator>openpyxl</dc:creator>
  <dc:description/>
  <dc:language>en-US</dc:language>
  <cp:lastModifiedBy/>
  <dcterms:modified xsi:type="dcterms:W3CDTF">2026-09-28T09:14:24Z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