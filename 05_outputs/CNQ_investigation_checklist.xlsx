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Checklist" sheetId="2" state="visible" r:id="rId4"/>
    <sheet name="Figures" sheetId="3" state="visible" r:id="rId5"/>
    <sheet name="H1_ReworkNoNC" sheetId="4" state="visible" r:id="rId6"/>
    <sheet name="H2_QualityTime" sheetId="5" state="visible" r:id="rId7"/>
    <sheet name="H3_CustomerReturns" sheetId="6" state="visible" r:id="rId8"/>
    <sheet name="H4_CableCutting" sheetId="7" state="visible" r:id="rId9"/>
    <sheet name="H5_NCsNoOrder" sheetId="8" state="visible" r:id="rId10"/>
    <sheet name="H6_OrdersNoTime" sheetId="9" state="visible" r:id="rId11"/>
    <sheet name="H7_DisruptExport" sheetId="10" state="visible" r:id="rId12"/>
    <sheet name="D_Block" sheetId="11" state="visible" r:id="rId13"/>
    <sheet name="M1_QualityLike" sheetId="12" state="visible" r:id="rId14"/>
    <sheet name="M2_NCsNotHeld" sheetId="13" state="visible" r:id="rId15"/>
    <sheet name="M3_Exceptional" sheetId="14" state="visible" r:id="rId16"/>
    <sheet name="Later" sheetId="15" state="visible" r:id="rId17"/>
  </sheets>
  <definedNames>
    <definedName function="false" hidden="true" localSheetId="1" name="_xlnm._FilterDatabase" vbProcedure="false">Checklist!$A$6:$J$19</definedName>
    <definedName function="false" hidden="true" localSheetId="10" name="_xlnm._FilterDatabase" vbProcedure="false">D_Block!$A$6:$L$114</definedName>
    <definedName function="false" hidden="true" localSheetId="3" name="_xlnm._FilterDatabase" vbProcedure="false">H1_ReworkNoNC!$A$6:$K$111</definedName>
    <definedName function="false" hidden="true" localSheetId="4" name="_xlnm._FilterDatabase" vbProcedure="false">H2_QualityTime!$A$6:$J$24</definedName>
    <definedName function="false" hidden="true" localSheetId="5" name="_xlnm._FilterDatabase" vbProcedure="false">H3_CustomerReturns!$A$7:$R$76</definedName>
    <definedName function="false" hidden="true" localSheetId="7" name="_xlnm._FilterDatabase" vbProcedure="false">H5_NCsNoOrder!$A$6:$M$53</definedName>
    <definedName function="false" hidden="true" localSheetId="8" name="_xlnm._FilterDatabase" vbProcedure="false">H6_OrdersNoTime!$A$6:$K$85</definedName>
    <definedName function="false" hidden="true" localSheetId="11" name="_xlnm._FilterDatabase" vbProcedure="false">M1_QualityLike!$A$15:$I$122</definedName>
    <definedName function="false" hidden="true" localSheetId="12" name="_xlnm._FilterDatabase" vbProcedure="false">M2_NCsNotHeld!$A$6:$K$46</definedName>
    <definedName function="false" hidden="true" localSheetId="13" name="_xlnm._FilterDatabase" vbProcedure="false">M3_Exceptional!$A$6:$H$10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<sst xmlns="http://schemas.openxmlformats.org/spreadsheetml/2006/main" count="4540" uniqueCount="2163">
  <si>
    <t xml:space="preserve">CNQ investigation workbook</t>
  </si>
  <si>
    <t xml:space="preserve">FTO2 / Airbus Electric Center, quality. Built 19 October 2026.</t>
  </si>
  <si>
    <t xml:space="preserve">Two calculations</t>
  </si>
  <si>
    <t xml:space="preserve">1. NC cost of non-quality: one cost per NC (level 3 of the CNQ model). The operator's aléa that leads to an NC is part of it (the 30-min alert step).</t>
  </si>
  <si>
    <t xml:space="preserve">2. Disruption block, shown beside it and never added inside it: quality aléas that did not lead to an NC (option B), plus other-kind aléas you decide count as quality (M1).</t>
  </si>
  <si>
    <t xml:space="preserve">How to use</t>
  </si>
  <si>
    <t xml:space="preserve">Start with the Checklist tab: one line per check, priority, question, where to look, and a link to its tab. Each tab lists the orders, NCs or aléas to look at.</t>
  </si>
  <si>
    <t xml:space="preserve">Yellow cells (blue text) are yours to fill: Y / N answers, findings, figures you find. Totals and the Figures tab recalculate from them.</t>
  </si>
  <si>
    <t xml:space="preserve">Example: in D_Block, an aléa whose NC was written by ERMA gets N in 'Keep in block?'; the block total in Figures drops by its hours.</t>
  </si>
  <si>
    <t xml:space="preserve">Example: in H3, typing 3 in 'Repair hours at the customer' replaces the model's rework for that return by 3 h x the rate in Figures!C4.</t>
  </si>
  <si>
    <t xml:space="preserve">Sources</t>
  </si>
  <si>
    <t xml:space="preserve">Work orders: SAP operations confirmed 1 Sep - 1 Oct 2026 (order type S03 = rework orders). Planned time = standard value in IM (1/100 h); confirmed times equal planned for 98% of operations.</t>
  </si>
  <si>
    <t xml:space="preserve">Disruptions: MES export, 2,500 rows, 5 Jan - 30 Sep 2026. Link to NCs: same work order, NC created between 2 h before and 72 h after the aléa.</t>
  </si>
  <si>
    <t xml:space="preserve">NCs: 2026 dashboard export + missing IDs (to 28 Sep 2026); 2025 NC file (plant FTO2). Rework order of an NC: AW_/WO_/RS_ number in linked_document different from its own work order.</t>
  </si>
  <si>
    <t xml:space="preserve">CNQ model: cnq_handoever, version cnq-2026.10.19. Scripts that rebuild every list: 07_scripts/wo_disruption (build_checklist.py builds this file).</t>
  </si>
  <si>
    <t xml:space="preserve">CNQ investigation checklist</t>
  </si>
  <si>
    <t xml:space="preserve">Built 19 October 2026 from the work orders (Sept 2026), the MES disruptions (Jan-Sep 2026) and the NC files (2025, 2026). One line per check; each has its own tab.</t>
  </si>
  <si>
    <t xml:space="preserve">Yellow cells are yours to fill (Status, Finding, Decision here; the yellow columns in each tab). Example of a filled line: Status 'Done' · Finding 'Orders are created by support without times when the rework is done by the test team' · Decision 'Use the model for orders with no time'.</t>
  </si>
  <si>
    <t xml:space="preserve">ID</t>
  </si>
  <si>
    <t xml:space="preserve">Priority</t>
  </si>
  <si>
    <t xml:space="preserve">Check</t>
  </si>
  <si>
    <t xml:space="preserve">What we know</t>
  </si>
  <si>
    <t xml:space="preserve">Question to answer</t>
  </si>
  <si>
    <t xml:space="preserve">Where to look / who to ask</t>
  </si>
  <si>
    <t xml:space="preserve">Tab</t>
  </si>
  <si>
    <t xml:space="preserve">Status</t>
  </si>
  <si>
    <t xml:space="preserve">Finding</t>
  </si>
  <si>
    <t xml:space="preserve">Decision</t>
  </si>
  <si>
    <t xml:space="preserve">H1</t>
  </si>
  <si>
    <t xml:space="preserve">High</t>
  </si>
  <si>
    <t xml:space="preserve">Rework done without an NC (shop floor)</t>
  </si>
  <si>
    <t xml:space="preserve">105 rework orders, about 181 planned h in September, no NC behind them: quality-team time, cable cutting, rework after test with no NC, cable / label remakes with no NC reference, formboard checks.</t>
  </si>
  <si>
    <t xml:space="preserve">Which are non-quality? Which should have had an NC?</t>
  </si>
  <si>
    <t xml:space="preserve">Rework order texts in SAP; line leaders; quality</t>
  </si>
  <si>
    <t xml:space="preserve">H1_ReworkNoNC</t>
  </si>
  <si>
    <t xml:space="preserve">To do</t>
  </si>
  <si>
    <t xml:space="preserve">H2</t>
  </si>
  <si>
    <t xml:space="preserve">Quality team time booked on rework orders</t>
  </si>
  <si>
    <t xml:space="preserve">2 orders, 70.5 h in September (A350 and A330 lines), incl. 15 h 'Gestion NC retours clients + analyse' and 4 h 'Alerte qualité'.</t>
  </si>
  <si>
    <t xml:space="preserve">Monthly? Which hours are NC handling? Overlap with the model's writing / support steps?</t>
  </si>
  <si>
    <t xml:space="preserve">Quality line managers (4QEH5I07, 4QEH1I07); SAP orders</t>
  </si>
  <si>
    <t xml:space="preserve">H2_QualityTime</t>
  </si>
  <si>
    <t xml:space="preserve">H3</t>
  </si>
  <si>
    <t xml:space="preserve">Customer returns: actual cost incl. work at the customer</t>
  </si>
  <si>
    <t xml:space="preserve">69 returns in 2026, model cost about 10,250 EUR. Repair happens at the customer (FNZ1 kits, FFF1 via REC orders); analysis, transport, penalties not counted.</t>
  </si>
  <si>
    <t xml:space="preserve">Repair hours at the customer, analysis hours, transport / kits, penalties. Put the customer's alert back?</t>
  </si>
  <si>
    <t xml:space="preserve">Quality (customer returns), TOF / FNZ1 / FFF1 contacts, REC</t>
  </si>
  <si>
    <t xml:space="preserve">H3_CustomerReturns</t>
  </si>
  <si>
    <t xml:space="preserve">H4</t>
  </si>
  <si>
    <t xml:space="preserve">BF24 / BF20 cable cutting for stock</t>
  </si>
  <si>
    <t xml:space="preserve">37 orders, 78 h, 2,600 cables cut in September for the PTVU line, after disruptions on Elec ABC quantities and missing BF24.</t>
  </si>
  <si>
    <t xml:space="preserve">Non-quality, or a definition / kitting problem?</t>
  </si>
  <si>
    <t xml:space="preserve">Methods (Elec ABC), A330 print room, PTVU line leader</t>
  </si>
  <si>
    <t xml:space="preserve">H4_CableCutting</t>
  </si>
  <si>
    <t xml:space="preserve">H5</t>
  </si>
  <si>
    <t xml:space="preserve">Reworked NCs with no rework order</t>
  </si>
  <si>
    <t xml:space="preserve">47 NCs (2026 and 2025) decided 'rework' with nothing in linked_document.</t>
  </si>
  <si>
    <t xml:space="preserve">Fixed on the spot, or an order that was never linked?</t>
  </si>
  <si>
    <t xml:space="preserve">SAP: NC and orders on the same work order / MSN</t>
  </si>
  <si>
    <t xml:space="preserve">H5_NCsNoOrder</t>
  </si>
  <si>
    <t xml:space="preserve">H6</t>
  </si>
  <si>
    <t xml:space="preserve">Rework orders with no planned time</t>
  </si>
  <si>
    <t xml:space="preserve">79 of 614 rework orders in September have no standard value (63 of 249 on the shop floor).</t>
  </si>
  <si>
    <t xml:space="preserve">Why no time? How should those NCs be costed?</t>
  </si>
  <si>
    <t xml:space="preserve">Methods / technical support who create the orders</t>
  </si>
  <si>
    <t xml:space="preserve">H6_OrdersNoTime</t>
  </si>
  <si>
    <t xml:space="preserve">H7</t>
  </si>
  <si>
    <t xml:space="preserve">Disruption export complete?</t>
  </si>
  <si>
    <t xml:space="preserve">Exactly 2,500 rows, newest first, 5 Jan 08:57 to 30 Sep 23:31. Starts on the plant's restart day, so probably complete.</t>
  </si>
  <si>
    <t xml:space="preserve">Re-export Jan-Mar and compare 5 January; look for a row limit.</t>
  </si>
  <si>
    <t xml:space="preserve">Skywise / Contour export; MES</t>
  </si>
  <si>
    <t xml:space="preserve">H7_DisruptExport</t>
  </si>
  <si>
    <t xml:space="preserve">M1</t>
  </si>
  <si>
    <t xml:space="preserve">Medium</t>
  </si>
  <si>
    <t xml:space="preserve">Other aléas that look like quality</t>
  </si>
  <si>
    <t xml:space="preserve">107 logistics / work-order / line aléas whose text reads like a quality problem, in 5 groups.</t>
  </si>
  <si>
    <t xml:space="preserve">Yes / no per group (no need to read them all).</t>
  </si>
  <si>
    <t xml:space="preserve">This workbook</t>
  </si>
  <si>
    <t xml:space="preserve">M1_QualityLike</t>
  </si>
  <si>
    <t xml:space="preserve">M4</t>
  </si>
  <si>
    <t xml:space="preserve">ERMA aléas inside the disruption block</t>
  </si>
  <si>
    <t xml:space="preserve">19 of the 108 'no NC' quality aléas are on the MIP / 1101VB, where ERMA writes NCs. Their NC may exist but be excluded with ERMA.</t>
  </si>
  <si>
    <t xml:space="preserve">Put N in D_Block for those that have an ERMA NC.</t>
  </si>
  <si>
    <t xml:space="preserve">Skywise NCs on the same work order</t>
  </si>
  <si>
    <t xml:space="preserve">D_Block</t>
  </si>
  <si>
    <t xml:space="preserve">M2</t>
  </si>
  <si>
    <t xml:space="preserve">Rework orders naming NCs we do not have</t>
  </si>
  <si>
    <t xml:space="preserve">40 orders, about 27 h, name 2026 NCs that are not in our exports.</t>
  </si>
  <si>
    <t xml:space="preserve">Plant / liability / writer of those NCs: out of scope, or missing from the export?</t>
  </si>
  <si>
    <t xml:space="preserve">Skywise NC lookup</t>
  </si>
  <si>
    <t xml:space="preserve">M2_NCsNotHeld</t>
  </si>
  <si>
    <t xml:space="preserve">M3</t>
  </si>
  <si>
    <t xml:space="preserve">Exceptional NCs (not for the presentation)</t>
  </si>
  <si>
    <t xml:space="preserve">4 NCs where the order plans far more than the model, e.g. 34 h of cable reprinting on one NC line.</t>
  </si>
  <si>
    <t xml:space="preserve">Is the planned time right? Should such NCs be costed from their order?</t>
  </si>
  <si>
    <t xml:space="preserve">You</t>
  </si>
  <si>
    <t xml:space="preserve">M3_Exceptional</t>
  </si>
  <si>
    <t xml:space="preserve">L1</t>
  </si>
  <si>
    <t xml:space="preserve">Low</t>
  </si>
  <si>
    <t xml:space="preserve">MSN 700/701 work (IEVB)</t>
  </si>
  <si>
    <t xml:space="preserve">74 orders, 217 h in September, flight-test installation work.</t>
  </si>
  <si>
    <t xml:space="preserve">Confirm out of scope.</t>
  </si>
  <si>
    <t xml:space="preserve">Flight-test / IEV team</t>
  </si>
  <si>
    <t xml:space="preserve">Later</t>
  </si>
  <si>
    <t xml:space="preserve">L2</t>
  </si>
  <si>
    <t xml:space="preserve">Change 5 kept for later</t>
  </si>
  <si>
    <t xml:space="preserve">Two defect classes missing from the time table (about 0 EUR).</t>
  </si>
  <si>
    <t xml:space="preserve">Apply when convenient.</t>
  </si>
  <si>
    <t xml:space="preserve">-</t>
  </si>
  <si>
    <t xml:space="preserve">Progress</t>
  </si>
  <si>
    <t xml:space="preserve">CNQ figures as of 19 October 2026</t>
  </si>
  <si>
    <t xml:space="preserve">Model cnq-2026.10.19 (alert only when an operator raises one; connection errors 35 then 15 min; internal NCs x 2). Blue = values from the analysis, black = formulas.</t>
  </si>
  <si>
    <t xml:space="preserve">Hourly rate used for hours (EUR/h)</t>
  </si>
  <si>
    <t xml:space="preserve">Official France rate used by the CNQ model (RATE_STANDARD). Change it here and every EUR figure in this workbook follows.</t>
  </si>
  <si>
    <t xml:space="preserve">1. NC cost of non-quality (level 3)</t>
  </si>
  <si>
    <t xml:space="preserve">Pack reference data, 5 Jan - 6 Jul 2026 (595 NCs)</t>
  </si>
  <si>
    <t xml:space="preserve">cnq_handoever/tests/expected_totals.json (parser v4.7 data)</t>
  </si>
  <si>
    <t xml:space="preserve">2026 Feb-Sep, raised at FTO2 (695 NCs)</t>
  </si>
  <si>
    <t xml:space="preserve">Parser v4.8 on the dashboard export + missing IDs; January left out (export cut)</t>
  </si>
  <si>
    <t xml:space="preserve">2025 Jan-Dec, raised at FTO2, without ERMA (818 NCs)</t>
  </si>
  <si>
    <t xml:space="preserve">2025 NC file; ERMA NCs left out to match the 2026 pipeline</t>
  </si>
  <si>
    <t xml:space="preserve">Customer returns 2026, Jan-Sep (69 NCs), model today</t>
  </si>
  <si>
    <t xml:space="preserve">Raised at other plants, FTO2 liable; see H3 for the actual cost</t>
  </si>
  <si>
    <t xml:space="preserve">Customer returns 2026 with the findings entered in H3</t>
  </si>
  <si>
    <t xml:space="preserve">Follows H3 'Cost with findings'</t>
  </si>
  <si>
    <t xml:space="preserve">2. Disruption block (option B): quality aléas with no NC</t>
  </si>
  <si>
    <t xml:space="preserve">Declared quality aléas kept (D_Block), Jan-Sep 2026: hours lost</t>
  </si>
  <si>
    <t xml:space="preserve">  of which Feb-Sep (same period as the 2026 NC cost)</t>
  </si>
  <si>
    <t xml:space="preserve">Other-kind aléas counted as quality (M1 groups marked Y): hours lost</t>
  </si>
  <si>
    <t xml:space="preserve">Disruption block, Jan-Sep 2026 (EUR)</t>
  </si>
  <si>
    <t xml:space="preserve">Hours lost x rate. Shown beside the NC cost, never added inside it.</t>
  </si>
  <si>
    <t xml:space="preserve">3. Known, not counted (scope or under investigation)</t>
  </si>
  <si>
    <t xml:space="preserve">REC rework orders at the FAL, September 2026: planned hours</t>
  </si>
  <si>
    <t xml:space="preserve">Out of scope as decided (REC)</t>
  </si>
  <si>
    <t xml:space="preserve">  in EUR</t>
  </si>
  <si>
    <t xml:space="preserve">ERMA NCs 2025, FTO2 liable (184 NCs): level 3 EUR</t>
  </si>
  <si>
    <t xml:space="preserve">Out of scope as decided (ERMA); new model</t>
  </si>
  <si>
    <t xml:space="preserve">Shop-floor rework with no NC, September 2026: planned hours (H1)</t>
  </si>
  <si>
    <t xml:space="preserve">Under investigation (H1)</t>
  </si>
  <si>
    <t xml:space="preserve">  of which marked non-quality in H1: hours</t>
  </si>
  <si>
    <t xml:space="preserve">  of which marked non-quality in H1: EUR</t>
  </si>
  <si>
    <t xml:space="preserve">H1. Rework orders on the FTO2 shop floor with no NC behind them (September 2026)</t>
  </si>
  <si>
    <t xml:space="preserve">S03 rework orders on FTO2 work centres (REC, flight test, regularisation and A400M excluded) that no NC links to and that name no NC number.</t>
  </si>
  <si>
    <t xml:space="preserve">For each order (or each group, using the filter): is it non-quality, and should an NC exist? Rework after test and cable remakes with no NC are the most likely 'missing NCs'. Planned hours are SAP standard values in IM (1/100 h), converted to hours.</t>
  </si>
  <si>
    <t xml:space="preserve">Rework order</t>
  </si>
  <si>
    <t xml:space="preserve">Programme</t>
  </si>
  <si>
    <t xml:space="preserve">MSN</t>
  </si>
  <si>
    <t xml:space="preserve">Work centre(s)</t>
  </si>
  <si>
    <t xml:space="preserve">Planned h</t>
  </si>
  <si>
    <t xml:space="preserve">Group (my reading)</t>
  </si>
  <si>
    <t xml:space="preserve">Named in disruption</t>
  </si>
  <si>
    <t xml:space="preserve">What the order says</t>
  </si>
  <si>
    <t xml:space="preserve">Non-quality? (Y/N)</t>
  </si>
  <si>
    <t xml:space="preserve">Should an NC have been written? (Y/N)</t>
  </si>
  <si>
    <t xml:space="preserve">Comment</t>
  </si>
  <si>
    <t xml:space="preserve">1031148483</t>
  </si>
  <si>
    <t xml:space="preserve">A330</t>
  </si>
  <si>
    <t xml:space="preserve">2166</t>
  </si>
  <si>
    <t xml:space="preserve">Attestation de conformitÃ© / Contrôle impression / Impression</t>
  </si>
  <si>
    <t xml:space="preserve">Cable cutting for stock (see H4)</t>
  </si>
  <si>
    <t xml:space="preserve">Attestation de conformité || Inspection Qualité || Débiter câbles BF24 Débiter câbles BF24 Veuillez débiter du BF24 =&gt; 3 fagots de 50 câbles de 100cm</t>
  </si>
  <si>
    <t xml:space="preserve">1030956049</t>
  </si>
  <si>
    <t xml:space="preserve">2169</t>
  </si>
  <si>
    <t xml:space="preserve">Contrôle impression / Impression</t>
  </si>
  <si>
    <t xml:space="preserve">Inspection Qualité || Débiter câbles BF24 et BF20 Débiter câbles BF24 et BF20 Veuillez débiter du BF24 50 câbles de 100cm Veuillez débiter du BF24 50 câbles de 80cm Veuillez débiter du BF20 50 câbles de 80cm</t>
  </si>
  <si>
    <t xml:space="preserve">1030956972</t>
  </si>
  <si>
    <t xml:space="preserve">Impression</t>
  </si>
  <si>
    <t xml:space="preserve">Débiter câbles BF24 et BF20 Débiter câbles BF24 et BF20 Veuillez débiter du BF24 50 câbles de 100cm Veuillez débiter du BF24 50 câbles de 80cm Veuillez débiter du BF20 50 câbles de 80cm</t>
  </si>
  <si>
    <t xml:space="preserve">1030957008</t>
  </si>
  <si>
    <t xml:space="preserve">1030957018</t>
  </si>
  <si>
    <t xml:space="preserve">1030957042</t>
  </si>
  <si>
    <t xml:space="preserve">1030957054</t>
  </si>
  <si>
    <t xml:space="preserve">1030957059</t>
  </si>
  <si>
    <t xml:space="preserve">1030957073</t>
  </si>
  <si>
    <t xml:space="preserve">Attestation de conformité || Inspection Qualité || Débiter câbles BF24 et BF20 Débiter câbles BF24 et BF20 Veuillez débiter du BF24 50 câbles de 100cm Veuillez débiter du BF24 50 câbles de 80cm Veuillez débiter du BF20 50 câbles de 80cm</t>
  </si>
  <si>
    <t xml:space="preserve">1030957083</t>
  </si>
  <si>
    <t xml:space="preserve">1031218410</t>
  </si>
  <si>
    <t xml:space="preserve">2171</t>
  </si>
  <si>
    <t xml:space="preserve">Inspection Qualité || Attestation de conformité || Débiter câbles BF24 Débiter câbles BF24 Veuillez débiter du BF24 =&gt; 2 fagots de 50 câbles de 100cm</t>
  </si>
  <si>
    <t xml:space="preserve">1031218471</t>
  </si>
  <si>
    <t xml:space="preserve">1031058373</t>
  </si>
  <si>
    <t xml:space="preserve">2170</t>
  </si>
  <si>
    <t xml:space="preserve">Débiter câbles BF24 Débiter câbles BF24 Veuillez débiter du BF24 50 câbles de 80cm</t>
  </si>
  <si>
    <t xml:space="preserve">1031058552</t>
  </si>
  <si>
    <t xml:space="preserve">Inspection Qualité || Attestation de conformité || Débiter câbles BF24 Débiter câbles BF24 Veuillez débiter du BF24 50 câbles de 80cm</t>
  </si>
  <si>
    <t xml:space="preserve">1031058612</t>
  </si>
  <si>
    <t xml:space="preserve">Attestation de conformité || Inspection Qualité || Débiter câbles BF24 Débiter câbles BF24 Veuillez débiter du BF24 50 câbles de 80cm</t>
  </si>
  <si>
    <t xml:space="preserve">1031058717</t>
  </si>
  <si>
    <t xml:space="preserve">1031058803</t>
  </si>
  <si>
    <t xml:space="preserve">1031058850</t>
  </si>
  <si>
    <t xml:space="preserve">1031059144</t>
  </si>
  <si>
    <t xml:space="preserve">1031059254</t>
  </si>
  <si>
    <t xml:space="preserve">1031059358</t>
  </si>
  <si>
    <t xml:space="preserve">1031061907</t>
  </si>
  <si>
    <t xml:space="preserve">1031123652</t>
  </si>
  <si>
    <t xml:space="preserve">Débiter câbles BF24 Débiter câbles BF24 Veuillez débiter du BF24 50 câbles de 100cm</t>
  </si>
  <si>
    <t xml:space="preserve">1031123684</t>
  </si>
  <si>
    <t xml:space="preserve">1031123714</t>
  </si>
  <si>
    <t xml:space="preserve">1031124310</t>
  </si>
  <si>
    <t xml:space="preserve">1031125327</t>
  </si>
  <si>
    <t xml:space="preserve">1031125343</t>
  </si>
  <si>
    <t xml:space="preserve">1031125364</t>
  </si>
  <si>
    <t xml:space="preserve">1031125427</t>
  </si>
  <si>
    <t xml:space="preserve">1031125478</t>
  </si>
  <si>
    <t xml:space="preserve">1031125487</t>
  </si>
  <si>
    <t xml:space="preserve">1031244675</t>
  </si>
  <si>
    <t xml:space="preserve">2173</t>
  </si>
  <si>
    <t xml:space="preserve">Attestation de conformité || Inspection Qualité || Débiter câbles BF24 Débiter câbles BF24 Veuillez débiter du BF24 50 câbles de 100cm</t>
  </si>
  <si>
    <t xml:space="preserve">1031244729</t>
  </si>
  <si>
    <t xml:space="preserve">Inspection Qualité || Attestation de conformité || Débiter câbles BF24 Débiter câbles BF24 Veuillez débiter du BF24 50 câbles de 100cm</t>
  </si>
  <si>
    <t xml:space="preserve">1031244762</t>
  </si>
  <si>
    <t xml:space="preserve">1031244783</t>
  </si>
  <si>
    <t xml:space="preserve">1031244826</t>
  </si>
  <si>
    <t xml:space="preserve">1031147640</t>
  </si>
  <si>
    <t xml:space="preserve">A350</t>
  </si>
  <si>
    <t xml:space="preserve">877</t>
  </si>
  <si>
    <t xml:space="preserve">Attestation de conformitÃ© / Basic Electrical harness manufacturing / Contrôle CDVE L2 / Inspection fabrication elec</t>
  </si>
  <si>
    <t xml:space="preserve">Cable or label remake, no NC reference</t>
  </si>
  <si>
    <t xml:space="preserve">Attestation de conformité || Inspection Qualité || Remise en conformités du câble Remise en conformités du câble Effectuer le sertissage du câble en tête A Effectuer le branchement du câble en tête A suivant les informations de la définition sur ElecABC/NIICE. &gt;&gt; REMPLIR LE MRG RATTRAPAGE S'appuyer des informations décrites suivant la définition su</t>
  </si>
  <si>
    <t xml:space="preserve">1031039821</t>
  </si>
  <si>
    <t xml:space="preserve">A320</t>
  </si>
  <si>
    <t xml:space="preserve">13237</t>
  </si>
  <si>
    <t xml:space="preserve">Inspection fabrication elec / Attestation de conformitÃ© / Basic Electrical harness manufacturing</t>
  </si>
  <si>
    <t xml:space="preserve">Attestation de conformité || Contrôle du KIT avant départ || Imprimer Plaquette Imprimer Plaquette Référence / Quantité / N° repère E0248A2-6H4T 1 7M</t>
  </si>
  <si>
    <t xml:space="preserve">1030699591</t>
  </si>
  <si>
    <t xml:space="preserve">870</t>
  </si>
  <si>
    <t xml:space="preserve">A350-REC-S/T-Attestation Conformité / Basic Electrical harness manufacturing / Réaliser Inspection</t>
  </si>
  <si>
    <t xml:space="preserve">Attestation de conformité || Inspection Qualité || ONTROLER SERTISSAGE CDVE tête A || Remise en conformités du câble Remise en conformités du câble Cheminer le câble vers la tête B. S'appuyer des informations décrites suivant la définition sur ElecABC/NIICE et des AIPI concernés. || Dénuder/Sertir câble CDVE tête A || ONTROLER SERTISSAGE CDVE tête </t>
  </si>
  <si>
    <t xml:space="preserve">1030780933</t>
  </si>
  <si>
    <t xml:space="preserve">700</t>
  </si>
  <si>
    <t xml:space="preserve">ATTESTATION DE CONFORMITE S/T / Attestation Conformité / Fabrication Harnais Electrique</t>
  </si>
  <si>
    <t xml:space="preserve">Attestation de conformité || Intallation support supplémentaires : Intallation support supplémentaires : Localisation: Cadre 72 AFT-US - Cadre-77-AFT-US. Latch Top AFT, Button AFT, TOP FWD et Button FWD. Montez le NSA935405-01 sur la poutre de verrouillage latérale (Lateral Latch Beam) conformément à l'AIPS 07-01-017 avec la référence AIMS10-04-011</t>
  </si>
  <si>
    <t xml:space="preserve">1030804587</t>
  </si>
  <si>
    <t xml:space="preserve">868</t>
  </si>
  <si>
    <t xml:space="preserve">Attestation de conformité || Inspection Qualité || Remise en conformités du câble Remise en conformités du câble Effectuer le sertissage du câble en tête A et tête B suivant les informations de la définition sur ElecABC/NIICE. Effectuer le branchement du câble en tête A suivant les informations de la définition sur ElecABC/NIICE. Effectuer le branc</t>
  </si>
  <si>
    <t xml:space="preserve">1030937608</t>
  </si>
  <si>
    <t xml:space="preserve">873</t>
  </si>
  <si>
    <t xml:space="preserve">Attestation de conformité || Inspection Qualité || CONTROLER SERTISSAGE CDVE || Remise en conformités du câble Remise en conformités du câble Effectuer le sertissage du câble en tête A et tête B suivant les informations de la définition sur ElecABC/NIICE. Effectuer le branchement du câble en tête A suivant les informations de la définition sur Elec</t>
  </si>
  <si>
    <t xml:space="preserve">1030986184</t>
  </si>
  <si>
    <t xml:space="preserve">876</t>
  </si>
  <si>
    <t xml:space="preserve">Inspection Qualité || Attestation de conformité || Remise en conformités du câble Remise en conformités du câble Effectuer le sertissage du câble en tête A suivant les informations de la définition sur ElecABC/NIICE. Effectuer le branchement du câble en tête A suivant les informations de la définition sur ElecABC/NIICE. Ne pas oublier de remplir le</t>
  </si>
  <si>
    <t xml:space="preserve">1030986501</t>
  </si>
  <si>
    <t xml:space="preserve">Attestation de conformité || Inspection Qualité || Remise en conformités du câble Remise en conformités du câble Effectuer le sertissage du câble en tête A suivant les informations de la définition sur ElecABC/NIICE. Effectuer le branchement du câble en tête A suivant les informations de la définition sur ElecABC/NIICE. Ne pas oublier de remplir le</t>
  </si>
  <si>
    <t xml:space="preserve">1030986631</t>
  </si>
  <si>
    <t xml:space="preserve">1030999250</t>
  </si>
  <si>
    <t xml:space="preserve">7877</t>
  </si>
  <si>
    <t xml:space="preserve">Attestation Conformité / Fabrication Harnais Electrique / Inspection qualité</t>
  </si>
  <si>
    <t xml:space="preserve">Attestation de conformité || Contrôle || Remise en conformité 64ZVC211-A et 270ZS Remise en conformité 64ZVC211-A et 270ZSC (DD027) Sur la prise 64ZVC211-A vérifier que le cable 8924-1669 est bien cablé sur la pin 3 et que le que le cable 8924-1670 est bien cablé sur la pin 4, si non les inverser pour correspondre à la def. Sur la prise 270ZSC véri</t>
  </si>
  <si>
    <t xml:space="preserve">1031001063</t>
  </si>
  <si>
    <t xml:space="preserve">Attestation de conformité || Inspection Qualité || Remise en conformités du câble Remise en conformités du câble Effectuer le sertissage du câble en tête A suivant les informations de la définition sur ElecABC/NIICE. Effectuer le branchement du câble en tête A suivant les informations de la définition sur ElecABC/NIICE. Effectuez le cheminement du </t>
  </si>
  <si>
    <t xml:space="preserve">1031001120</t>
  </si>
  <si>
    <t xml:space="preserve">1031020514</t>
  </si>
  <si>
    <t xml:space="preserve">1031042265</t>
  </si>
  <si>
    <t xml:space="preserve">872</t>
  </si>
  <si>
    <t xml:space="preserve">Inspection Qualité || Attestation de conformité || Remise en conformités du câble Remise en conformités du câble Effectuer le sertissage du câble en tête A suivant les informations de la définition sur ElecABC/NIICE. Effectuer le branchement du câble en tête A suivant les informations de la définition sur ElecABC/NIICE. Effectuez le cheminement du </t>
  </si>
  <si>
    <t xml:space="preserve">1031044232</t>
  </si>
  <si>
    <t xml:space="preserve">Attestation de conformité || Inspection Qualité || Remise en conformités du câble Remise en conformités du câble Effectuer le sertissage du câble en tête A suivant les informations de la définition sur ElecABC/NIICE. Effectuer le branchement du câble en tête A suivant les informations de la définition sur ElecABC/NIICE. S'appuyer des informations d</t>
  </si>
  <si>
    <t xml:space="preserve">1031044289</t>
  </si>
  <si>
    <t xml:space="preserve">874</t>
  </si>
  <si>
    <t xml:space="preserve">Basic Electrical harness manufacturing</t>
  </si>
  <si>
    <t xml:space="preserve">Remise en conformités du câble Remise en conformités du câble Effectuer le sertissage du câble en tête A suivant les informations de la définition sur ElecABC/NIICE. Effectuer le branchement du câble en tête A suivant les informations de la définition sur ElecABC/NIICE. Effectuez le cheminement du câble vers la tête B Effectuer le sertissage du câb</t>
  </si>
  <si>
    <t xml:space="preserve">1031065659</t>
  </si>
  <si>
    <t xml:space="preserve">Inspection Qualité || Attestation de conformité || Remise en conformités du câble Remise en conformités du câble Effectuer le sertissage du câble en tête A suivant les informations de la définition sur ElecABC/NIICE. Effectuer le branchement du câble en tête A suivant les informations de la définition sur ElecABC/NIICE. S'appuyer des informations d</t>
  </si>
  <si>
    <t xml:space="preserve">1031102915</t>
  </si>
  <si>
    <t xml:space="preserve">1031147747</t>
  </si>
  <si>
    <t xml:space="preserve">878</t>
  </si>
  <si>
    <t xml:space="preserve">Remise en conformités du câble Remise en conformités du câble Effectuer le sertissage du câble en tête A suivant les informations de la définition sur ElecABC/NIICE. Effectuer le branchement du câble en tête A suivant les informations de la définition sur ElecABC/NIICE. Ne pas oublier de remplir le MRG RATTRAPAGE. S'appuyer des informations décrite</t>
  </si>
  <si>
    <t xml:space="preserve">1031148923</t>
  </si>
  <si>
    <t xml:space="preserve">Dénuder/Sertir câble CDVE || Remise en conformités du câble Remise en conformités du câble Effectuer le sertissage du câble en tête A et tête B suivant les informations de la définition sur ElecABC/NIICE. Effectuer le branchement du câble en tête A suivant les informations de la définition sur ElecABC/NIICE. Effectuer le branchement du câble en têt</t>
  </si>
  <si>
    <t xml:space="preserve">1031186441</t>
  </si>
  <si>
    <t xml:space="preserve">Remise en conformité 64ZVC104 Remise en conformité 64ZVC104 C (RR291) Sur le FIN 42ZXA201 (Alim RR291) vérifier que le cable 8905-0705 est bien cablé de la pin 9 à la pin 12 de la prise 234ZVC8 et que le que le cable 8905-0706 est bien cablé de la pin 10 à la pin 13, sinon les inverser pour correspondre à la def. Sur le FIN 19ZXA002 vérifier que le</t>
  </si>
  <si>
    <t xml:space="preserve">1031187921</t>
  </si>
  <si>
    <t xml:space="preserve">879</t>
  </si>
  <si>
    <t xml:space="preserve">Inspection Qualité || Attestation de conformité || CONTROLER SERTISSAGE CDVE || Remise en conformités du câble Remise en conformités du câble Effectuer le sertissage du câble en tête A suivant les informations de la définition sur ElecABC/NIICE. Effectuer le branchement du câble en tête A suivant les informations de la définition sur ElecABC/NIICE.</t>
  </si>
  <si>
    <t xml:space="preserve">1031194761</t>
  </si>
  <si>
    <t xml:space="preserve">1031236829</t>
  </si>
  <si>
    <t xml:space="preserve">880</t>
  </si>
  <si>
    <t xml:space="preserve">Dénuder/Sertir câble CDVE || Remise en conformités du câble Remise en conformités du câble Effectuer le sertissage du câble en tête A et tête B suivant les informations de la définition sur ElecABC/NIICE. Effectuer le branchement du câble en tête A suivant les informations de la définition sur ElecABC/NIICE. S'appuyer des informations décrites suiv</t>
  </si>
  <si>
    <t xml:space="preserve">1031249186</t>
  </si>
  <si>
    <t xml:space="preserve">Dénuder/Sertir câble CDVE</t>
  </si>
  <si>
    <t xml:space="preserve">1030755222</t>
  </si>
  <si>
    <t xml:space="preserve">871</t>
  </si>
  <si>
    <t xml:space="preserve">Cable remake that refers to an NC without its number</t>
  </si>
  <si>
    <t xml:space="preserve">Attestation de conformité || Inspection Qualité || NC CABLE - Remise en conformités du câbl NC CABLE - Remise en conformités du câble Effectuer le dénudage / sertissage du câble en tête A suivant les informations de la définition sur ElecABC/NIICE. Effectuer le branchement du câble en tête A suivant les informations de la définition sur ElecABC/NII</t>
  </si>
  <si>
    <t xml:space="preserve">1030792700</t>
  </si>
  <si>
    <t xml:space="preserve">728</t>
  </si>
  <si>
    <t xml:space="preserve">Attestation de conformitÃ© / Inspection fabrication elec</t>
  </si>
  <si>
    <t xml:space="preserve">Formboard check after a definition change</t>
  </si>
  <si>
    <t xml:space="preserve">Attestation conformité Attestation conformité Inspection avant la clôture de l'OF || Contrôle final || Contrôler LE FORMBOARD 5893VB Contrôler LE FORMBOARD 5893VB Veuillez contrôler le formboard T001804024-58930D11 A0 Impact: Création d'un nouveau formboard suite à la publication de la DS V92997849000 -.</t>
  </si>
  <si>
    <t xml:space="preserve">1030791370</t>
  </si>
  <si>
    <t xml:space="preserve">Attestation conformité Attestation conformité Inspection avant la clôture de l'OF || Contrôle final || Contrôler le FORMBOARD 5891VB Contrôler le FORMBOARD 5891VB Veuillez contrôler le formboard T001804048-58910D11 A0 impact: -Création d'un nouveau formboard suite à la publication de la DS V92997691000</t>
  </si>
  <si>
    <t xml:space="preserve">1030817127</t>
  </si>
  <si>
    <t xml:space="preserve">Contrôle final || Inspection avant la clôture de l'OF || Contrôler LE FORMBOARD 5881VB Contrôler LE FORMBOARD 5881VB Veuillez contrôler le formboard T001804052-58810D11 A0 Création d'un nouveau formboard suite à la publication de la DS V92996527000</t>
  </si>
  <si>
    <t xml:space="preserve">1030817258</t>
  </si>
  <si>
    <t xml:space="preserve">Inspection avant la clôture de l'OF || Inspection Qualité || Contrôler le FORMBOARD 5883VB Contrôler le FORMBOARD 5883VB Veuillez contrôler le formboard T001804050-58830D01 B0</t>
  </si>
  <si>
    <t xml:space="preserve">1030949836</t>
  </si>
  <si>
    <t xml:space="preserve">Attestation Conformité / Réaliser inspection qualité</t>
  </si>
  <si>
    <t xml:space="preserve">Contrôle Contrôle Veuillez contrôler le formboard T001801954-11011D71 issue A0,, Qté :2 ligne 5 Route 1M CDVE || Attestation conformité</t>
  </si>
  <si>
    <t xml:space="preserve">1030949907</t>
  </si>
  <si>
    <t xml:space="preserve">Attestation conformité || Contrôle Contrôle Veuillez contrôler le formboard T001801956-11012D,,71 issue A0 Qté:1 ligne 5</t>
  </si>
  <si>
    <t xml:space="preserve">1030931458</t>
  </si>
  <si>
    <t xml:space="preserve">Other rework</t>
  </si>
  <si>
    <t xml:space="preserve">Nettoyage des points de masse des Rampes Nettoyage des points de masse des Rampes V9241959700000 Veuillez nettoyer les deux point de masse de chaque Rampe V9241959700000 en suivant l'AIPI 07-01-006 et l'AIPI 09-01-002 à la dernière version. IMPORTANT : Pour effectuer cette tache, veuillez vous équiper de masque FFP3 et de gants en nitrile. || Décap</t>
  </si>
  <si>
    <t xml:space="preserve">1031243823</t>
  </si>
  <si>
    <t xml:space="preserve">Quality team time (see H2)</t>
  </si>
  <si>
    <t xml:space="preserve">Attestation de conformité || Alerte qualité || Gestion NC Fournisseur et/ou client + a || Gestion NC retours clients + analyse Gestion NC retours clients + analyse lité + admin || ACCOMPAGNEMENT ME || SO || NC cable / Interne || Gestion des parachèvements || Controle finale MDCD + accompagnement MD || ACCOMPAGNEMENT PROD / QA / L2 / TL</t>
  </si>
  <si>
    <t xml:space="preserve">1031225552</t>
  </si>
  <si>
    <t xml:space="preserve">2172</t>
  </si>
  <si>
    <t xml:space="preserve">Inspection fabrication elec / Attestation de conformitÃ©</t>
  </si>
  <si>
    <t xml:space="preserve">Attestation de conformité || SO et AD-HOC || RECHERCHE IBM || ACCOMPAGNEMENT PRODUCTION || ALERTE QUALITE SUITE A RETOUR CLIENT OU ALERTE QUALITE SUITE A RETOUR CLIENT OU ALERTE NOE || POINTS PTVU / MFT || REVUE QA || Passage de QA 1ere attribution et renouv Passage de QA 1ere attribution et renouvellement</t>
  </si>
  <si>
    <t xml:space="preserve">1031243454</t>
  </si>
  <si>
    <t xml:space="preserve">867</t>
  </si>
  <si>
    <t xml:space="preserve">Rework after test, no NC written</t>
  </si>
  <si>
    <t xml:space="preserve">Remise en conformité MIP (Prod)</t>
  </si>
  <si>
    <t xml:space="preserve">1031234082</t>
  </si>
  <si>
    <t xml:space="preserve">Meca basique / Test</t>
  </si>
  <si>
    <t xml:space="preserve">Test du VU || Remise en conformité par la prod</t>
  </si>
  <si>
    <t xml:space="preserve">1031267724</t>
  </si>
  <si>
    <t xml:space="preserve">Meca basique</t>
  </si>
  <si>
    <t xml:space="preserve">Remise en conformité du PTVU par la prod Remise en conformité du PTVU par la prod Phase à appliquer en POWER OFF qu’il soit total ou partiel. Se rapprocher des techniciens d'essais pour appliquer la procédure de consignation.</t>
  </si>
  <si>
    <t xml:space="preserve">1030931428</t>
  </si>
  <si>
    <t xml:space="preserve">Attestation de conformitÃ© / Basic Electrical harness manufacturing / Inspection fabrication elec</t>
  </si>
  <si>
    <t xml:space="preserve">Attestation de conformité || Inspection Qualité || Nettoyage des points de masse des Rampes Nettoyage des points de masse des Rampes V9241959700000 Veuillez nettoyer les deux point de masse de chaque Rampe V9241959700000 en suivant l'AIPI 07-01-006 et l'AIPI 09-01-002 à la dernière version. IMPORTANT : Pour effectuer cette tache, veuillez vous équi</t>
  </si>
  <si>
    <t xml:space="preserve">1030931493</t>
  </si>
  <si>
    <t xml:space="preserve">1030931521</t>
  </si>
  <si>
    <t xml:space="preserve">869</t>
  </si>
  <si>
    <t xml:space="preserve">1031237983</t>
  </si>
  <si>
    <t xml:space="preserve">Test</t>
  </si>
  <si>
    <t xml:space="preserve">NC TEST - Remise en conformité du MIP pa NC TEST - Remise en conformité du MIP par le Test</t>
  </si>
  <si>
    <t xml:space="preserve">1030917664</t>
  </si>
  <si>
    <t xml:space="preserve">863</t>
  </si>
  <si>
    <t xml:space="preserve">Attestation de conformité || Inspection Qualité || MISE AU PROPRE 20TC1 A MISE AU PROPRE 20TC1 A Veillez effectuer la mise au propre de la gaine textile du FIN 20TC1 A suivant AIPI07-01-001, AIPI07-01-003, AIPI07-06-002 et AIPI07-07-002 au dernier indice et les informations de la définition. S'appuyer des informations décrites suivant la définition</t>
  </si>
  <si>
    <t xml:space="preserve">1030917698</t>
  </si>
  <si>
    <t xml:space="preserve">864</t>
  </si>
  <si>
    <t xml:space="preserve">Attestation de conformité || Inspection Qualité || MISE AU PROPRE 20TC2 A MISE AU PROPRE 20TC2 A Veillez effectuer la mise au propre de la gaine textile du FIN 20TC2 A suivant AIPI07-01-001, AIPI07-01-003, AIPI07-06-002 et AIPI07-07-002 au dernier indice et les informations de la définition. S'appuyer des informations décrites suivant la définition</t>
  </si>
  <si>
    <t xml:space="preserve">1030917721</t>
  </si>
  <si>
    <t xml:space="preserve">865</t>
  </si>
  <si>
    <t xml:space="preserve">1030917744</t>
  </si>
  <si>
    <t xml:space="preserve">866</t>
  </si>
  <si>
    <t xml:space="preserve">Inspection Qualité || Attestation de conformité || MISE AU PROPRE 20TC1 A MISE AU PROPRE 20TC1 A Veillez effectuer la mise au propre de la gaine textile du FIN 20TC1 A suivant AIPI07-01-001, AIPI07-01-003, AIPI07-06-002 et AIPI07-07-002 au dernier indice et les informations de la définition. S'appuyer des informations décrites suivant la définition</t>
  </si>
  <si>
    <t xml:space="preserve">1030917772</t>
  </si>
  <si>
    <t xml:space="preserve">744</t>
  </si>
  <si>
    <t xml:space="preserve">Inspection Qualité || Attestation de conformité || MISE AU PROPRE 20TC2 A MISE AU PROPRE 20TC2 A Veillez effectuer la mise au propre de la gaine textile du FIN 20TC2 A suivant AIPI07-01-001, AIPI07-01-003, AIPI07-06-002 et AIPI07-07-002 au dernier indice et les informations de la définition. S'appuyer des informations décrites suivant la définition</t>
  </si>
  <si>
    <t xml:space="preserve">1030917873</t>
  </si>
  <si>
    <t xml:space="preserve">1030917876</t>
  </si>
  <si>
    <t xml:space="preserve">1030330619</t>
  </si>
  <si>
    <t xml:space="preserve">Attestation de conformité || Inspection Qualité</t>
  </si>
  <si>
    <t xml:space="preserve">1030389518</t>
  </si>
  <si>
    <t xml:space="preserve">1031271657</t>
  </si>
  <si>
    <t xml:space="preserve">13921</t>
  </si>
  <si>
    <t xml:space="preserve">Elec fabrication basique</t>
  </si>
  <si>
    <t xml:space="preserve">Remise en conformité par la production</t>
  </si>
  <si>
    <t xml:space="preserve">1029645893</t>
  </si>
  <si>
    <t xml:space="preserve">701</t>
  </si>
  <si>
    <t xml:space="preserve">Attestation Conformité / Basique fabrication Electrique / Inspection qualité</t>
  </si>
  <si>
    <t xml:space="preserve">ATTESTATION DE CONFORMITE || CONTROLE CONTROLE Cet OT est en // de l'OF 1028559128 (FB37531) || Veuillez installer les documents A3 plas Veuillez installer les documents A3 plastifié sur les portes avants, près du trailing cone et près dy FTES avec du scotch bleu suivant photo jointe en marouflant.</t>
  </si>
  <si>
    <t xml:space="preserve">1030618214</t>
  </si>
  <si>
    <t xml:space="preserve">A350-REC-S/T-Attestation Conformité</t>
  </si>
  <si>
    <t xml:space="preserve">Attestation de conformité</t>
  </si>
  <si>
    <t xml:space="preserve">1030754959</t>
  </si>
  <si>
    <t xml:space="preserve">1030780734</t>
  </si>
  <si>
    <t xml:space="preserve">A350-REC-S/T-Attestation Conformité / Réaliser Inspection</t>
  </si>
  <si>
    <t xml:space="preserve">Attestation de conformité || Inspection Qualité || CONTROLER SERTISSAGE CDVE</t>
  </si>
  <si>
    <t xml:space="preserve">1030791966</t>
  </si>
  <si>
    <t xml:space="preserve">Attestation de conformitÃ© / Contrôle impression</t>
  </si>
  <si>
    <t xml:space="preserve">Inspection Qualité || Attestation de conformité</t>
  </si>
  <si>
    <t xml:space="preserve">1030793434</t>
  </si>
  <si>
    <t xml:space="preserve">Attestation de conformité || CONTROLER || Remise en conformité. || Analyse de dossier : Analyse de dossier : Localisation : cadres 57/58 et 31/32 coté droit. Merci de refaire le routing au scotch alu sur les Linings en MD.</t>
  </si>
  <si>
    <t xml:space="preserve">1030807762</t>
  </si>
  <si>
    <t xml:space="preserve">6101</t>
  </si>
  <si>
    <t xml:space="preserve">ATTESTATION DE CONFORMITE || CONTROLER || PREPARATION / ANALYSE DOSSIER || Repose DD253 S/N 25109 et 2511 4ZU Repose DD253 S/N 25109 et 2511 4ZU Veuillez installer les équipements DD253 FIN : 253ZSC2 SN : 25109 ainsi que, FIN : 253ZSC1 SN : 25110 Veuillez ne pas procéder au torquage définitif, celui-ci sera fait via l'OT : 1030790015 || Dépose DD25</t>
  </si>
  <si>
    <t xml:space="preserve">1030819680</t>
  </si>
  <si>
    <t xml:space="preserve">Attestation de conformité || Remise en conformité 743ZVC102-A Remise en conformité 743ZVC102-A Sur la prise 743ZVC102-A Inversion de câblage entre les pin 21,22,23 et 24. Veuillez vous mettre en conformité par rapport au WD V89596412-81. || Contrôle</t>
  </si>
  <si>
    <t xml:space="preserve">1030820892</t>
  </si>
  <si>
    <t xml:space="preserve">Attestation de conformité || Remise en conformité 743ZVC202-A Remise en conformité 743ZVC202-A Sur la prise 743ZVC202-A Inversion de câblage entre les pin 26,27,28 et 29. Veuillez vous mettre en conformité par rapport au WD V89596415-81. || Contrôle</t>
  </si>
  <si>
    <t xml:space="preserve">1030832535</t>
  </si>
  <si>
    <t xml:space="preserve">Attestation de conformité || Contrôle || Remise en conformité 743ZVC102-A Remise en conformité 743ZVC102-A Sur la prise 743ZVC102-A Inversion de câblage entre les pin 71,72,73 et 74. Veuillez vous mettre en conformité par rapport au WD V895-96411-081.</t>
  </si>
  <si>
    <t xml:space="preserve">1030987147</t>
  </si>
  <si>
    <t xml:space="preserve">ATTESTATION DE CONFORMITE || CONTROLER || Analyse dossier : Analyse dossier : Localisation : D01, rack 202ZU1, appliquer le bleu de métallisation sur RAU 202ZXM031 || Appliquer le bleu de métallisation suiva Appliquer le bleu de métallisation suivant NSI page 18 fournie</t>
  </si>
  <si>
    <t xml:space="preserve">1030987209</t>
  </si>
  <si>
    <t xml:space="preserve">ATTESTATION DE CONFORMITE || CONTROLER || Localisation : Localisation : D01, rack 202ZU1 , RAU 202ZXM021. appliquer le bleu de métallisation comme indiqué sur page 19 de la NSI fournie + mesure à faire</t>
  </si>
  <si>
    <t xml:space="preserve">1031013785</t>
  </si>
  <si>
    <t xml:space="preserve">Attestation de conformité || Réaliser le torquage || REALISATION HARNAIS 4245ZB REALISATION HARNAIS 4245ZB FABRIQUER DES EMBOUTS DE CONDUITES SELON L'ORDRE DE FABRICATION ET LE DOCUMENT DE CONSTRUCTION || Contrôle</t>
  </si>
  <si>
    <t xml:space="preserve">1031063645</t>
  </si>
  <si>
    <t xml:space="preserve">Attestation de conformité Attestation de conformité Inspection avant la clôture de l'OF Inspection avant la clôture de l'OF || Inspection Qualité || Remise en conformités de la prise 1608VC Remise en conformités de la prise 1608VC050 Veuillez Appliquer la NSI joint à la S03.</t>
  </si>
  <si>
    <t xml:space="preserve">1031126656</t>
  </si>
  <si>
    <t xml:space="preserve">Contrôle || Attestation de conformité || Remise en conformité RAU. Remise en conformité RAU. Remise en conformité de tout les RAU du RENO 7877, mettre la tete de la vis coté carré et pas coté rond, voir image de l'AIPI 25-11-003 fournis dans l'OT. Localisation : Armoire 202ZU1 et 202ZU2 Zone Metro 7877 au D01. Torquage à appliquer : 0,28 N/m avec t</t>
  </si>
  <si>
    <t xml:space="preserve">1031263387</t>
  </si>
  <si>
    <t xml:space="preserve">Attestation de conformité || Contrôle || Dépose NSA940692-1 non conforme Dépose NSA940692-1 non conforme Merci de déposer le harnais UW520 NSA940692-1, 202ZU2 || Repose NSA940692-1 conforme Repose NSA940692-1 conforme Merci de procéder à la repose du harnais UW520 NSA940692-1 W1-Enc || PREPARATION / ANALYSE DOSSIER</t>
  </si>
  <si>
    <t xml:space="preserve">Total planned h</t>
  </si>
  <si>
    <t xml:space="preserve">H2. Quality team time booked on rework orders (September 2026)</t>
  </si>
  <si>
    <t xml:space="preserve">Two S03 orders on quality work centres look like the quality team's time sheet for the month: one for the A350 line, one for the A330 line.</t>
  </si>
  <si>
    <t xml:space="preserve">Questions: Is there one such order per line every month? Who books on it? Which operations are NC handling (and so CNQ), and which are normal quality work (QA qualification, production support)? Does any of it overlap the model's 'writing the NC' (30/60 min) or 'technical support' (60 min) steps?</t>
  </si>
  <si>
    <t xml:space="preserve">Order</t>
  </si>
  <si>
    <t xml:space="preserve">Programme / MSN</t>
  </si>
  <si>
    <t xml:space="preserve">Work centre</t>
  </si>
  <si>
    <t xml:space="preserve">Op</t>
  </si>
  <si>
    <t xml:space="preserve">Operation</t>
  </si>
  <si>
    <t xml:space="preserve">Long text</t>
  </si>
  <si>
    <t xml:space="preserve">NC-related? (Y/N)</t>
  </si>
  <si>
    <t xml:space="preserve">Already in the model's steps? (writing / support / none)</t>
  </si>
  <si>
    <t xml:space="preserve">A330 / 2172</t>
  </si>
  <si>
    <t xml:space="preserve">4QEH1I07</t>
  </si>
  <si>
    <t xml:space="preserve">10</t>
  </si>
  <si>
    <t xml:space="preserve"> SO et AD-HOC</t>
  </si>
  <si>
    <t xml:space="preserve">20</t>
  </si>
  <si>
    <t xml:space="preserve">Passage de QA 1ere attribution et renouv</t>
  </si>
  <si>
    <t xml:space="preserve">Passage de QA 1ere attribution et renouvellement</t>
  </si>
  <si>
    <t xml:space="preserve">30</t>
  </si>
  <si>
    <t xml:space="preserve">REVUE QA</t>
  </si>
  <si>
    <t xml:space="preserve">40</t>
  </si>
  <si>
    <t xml:space="preserve">ALERTE QUALITE SUITE A RETOUR CLIENT OU</t>
  </si>
  <si>
    <t xml:space="preserve">ALERTE QUALITE SUITE A RETOUR CLIENT OU ALERTE NOE</t>
  </si>
  <si>
    <t xml:space="preserve">50</t>
  </si>
  <si>
    <t xml:space="preserve">ACCOMPAGNEMENT PRODUCTION</t>
  </si>
  <si>
    <t xml:space="preserve">60</t>
  </si>
  <si>
    <t xml:space="preserve">RECHERCHE IBM</t>
  </si>
  <si>
    <t xml:space="preserve">70</t>
  </si>
  <si>
    <t xml:space="preserve">POINTS PTVU / MFT</t>
  </si>
  <si>
    <t xml:space="preserve">4QEM0I01</t>
  </si>
  <si>
    <t xml:space="preserve">9995</t>
  </si>
  <si>
    <t xml:space="preserve">A350 / 872</t>
  </si>
  <si>
    <t xml:space="preserve">4QEH5I07</t>
  </si>
  <si>
    <t xml:space="preserve">SO</t>
  </si>
  <si>
    <t xml:space="preserve">ACCOMPAGNEMENT PROD / QA / L2 / TL</t>
  </si>
  <si>
    <t xml:space="preserve">ACCOMPAGNEMENT ME</t>
  </si>
  <si>
    <t xml:space="preserve">Gestion des parachèvements</t>
  </si>
  <si>
    <t xml:space="preserve">NC cable / Interne</t>
  </si>
  <si>
    <t xml:space="preserve">Gestion NC Fournisseur et/ou client + a</t>
  </si>
  <si>
    <t xml:space="preserve">Gestion NC retours clients + analyse</t>
  </si>
  <si>
    <t xml:space="preserve">Gestion NC retours clients + analyse lité + admin</t>
  </si>
  <si>
    <t xml:space="preserve">80</t>
  </si>
  <si>
    <t xml:space="preserve">Controle finale MDCD + accompagnement MD</t>
  </si>
  <si>
    <t xml:space="preserve">90</t>
  </si>
  <si>
    <t xml:space="preserve">Alerte qualité</t>
  </si>
  <si>
    <t xml:space="preserve">4QEH0I01</t>
  </si>
  <si>
    <t xml:space="preserve">h marked NC-related</t>
  </si>
  <si>
    <t xml:space="preserve">H3. Customer returns: the actual cost, including the work done at the customer</t>
  </si>
  <si>
    <t xml:space="preserve">Customer-return NCs where FTO2 is liable, created in 2026. We are the direct cause, so every cost we can find counts, even outside the plant.</t>
  </si>
  <si>
    <t xml:space="preserve">What the model counts today: writing the NC, technical support, re-check, and the rework estimated at FTO2's times (no operator alert since 19 Oct). What it does not count: the repair time actually spent at the customer, the analysis (8D), transport, kits, penalties. Fill what you find in the yellow columns; 'Cost with findings' replaces the model's rework by the real repair hours when you enter them, and adds the rest.</t>
  </si>
  <si>
    <t xml:space="preserve">What we already know: FNZ1 returns (cockpit 'mauvais backshell') get an FTO2 rework order that only checks the kit sent to Montoir-de-Bretagne (0 h planned). Two FFF1 returns ('312VU endommagé') are linked to REC rework orders at the FAL (0.5 and 0.8 h planned). In September the quality team's A350 order booked 15 h of 'Gestion NC retours clients + analyse' for 8 A350 returns.</t>
  </si>
  <si>
    <t xml:space="preserve">NC</t>
  </si>
  <si>
    <t xml:space="preserve">Created</t>
  </si>
  <si>
    <t xml:space="preserve">Raised at plant</t>
  </si>
  <si>
    <t xml:space="preserve">What was found</t>
  </si>
  <si>
    <t xml:space="preserve">Defect lines</t>
  </si>
  <si>
    <t xml:space="preserve">Model cost now (EUR)</t>
  </si>
  <si>
    <t xml:space="preserve">of which rework at FTO2 times (EUR)</t>
  </si>
  <si>
    <t xml:space="preserve">Rework order(s) linked</t>
  </si>
  <si>
    <t xml:space="preserve">Planned h on that order (Sept file)</t>
  </si>
  <si>
    <t xml:space="preserve">Repair hours at the customer</t>
  </si>
  <si>
    <t xml:space="preserve">Analysis / 8D hours</t>
  </si>
  <si>
    <t xml:space="preserve">Transport, kit, logistics (EUR)</t>
  </si>
  <si>
    <t xml:space="preserve">Penalties, other (EUR)</t>
  </si>
  <si>
    <t xml:space="preserve">Source of the figures</t>
  </si>
  <si>
    <t xml:space="preserve">Cost with findings (EUR)</t>
  </si>
  <si>
    <t xml:space="preserve">216060610</t>
  </si>
  <si>
    <t xml:space="preserve">2026-01-07</t>
  </si>
  <si>
    <t xml:space="preserve">FNZ1</t>
  </si>
  <si>
    <t xml:space="preserve">MT</t>
  </si>
  <si>
    <t xml:space="preserve">159</t>
  </si>
  <si>
    <t xml:space="preserve">Cab*G*C17*L1/2*Prise 624VC non conforme</t>
  </si>
  <si>
    <t xml:space="preserve">RWK</t>
  </si>
  <si>
    <t xml:space="preserve">1028164740, 1028176622</t>
  </si>
  <si>
    <t xml:space="preserve">216172114</t>
  </si>
  <si>
    <t xml:space="preserve">2026-01-19</t>
  </si>
  <si>
    <t xml:space="preserve">160</t>
  </si>
  <si>
    <t xml:space="preserve">OHP-G Dérivation mal positionnée 2400VB</t>
  </si>
  <si>
    <t xml:space="preserve">1028305824, 1028306604</t>
  </si>
  <si>
    <t xml:space="preserve">216217484</t>
  </si>
  <si>
    <t xml:space="preserve">2026-01-22</t>
  </si>
  <si>
    <t xml:space="preserve">FFF1</t>
  </si>
  <si>
    <t xml:space="preserve">2142</t>
  </si>
  <si>
    <t xml:space="preserve">Vis cassé dans alésage</t>
  </si>
  <si>
    <t xml:space="preserve">1028140433</t>
  </si>
  <si>
    <t xml:space="preserve">216225110</t>
  </si>
  <si>
    <t xml:space="preserve">2026-01-23</t>
  </si>
  <si>
    <t xml:space="preserve">Disjoncteur 2RE1 cassée</t>
  </si>
  <si>
    <t xml:space="preserve">1028174479</t>
  </si>
  <si>
    <t xml:space="preserve">216308985</t>
  </si>
  <si>
    <t xml:space="preserve">2026-02-02</t>
  </si>
  <si>
    <t xml:space="preserve">2121</t>
  </si>
  <si>
    <t xml:space="preserve">Circuit breaker ATC broken</t>
  </si>
  <si>
    <t xml:space="preserve">1028253666</t>
  </si>
  <si>
    <t xml:space="preserve">216313341</t>
  </si>
  <si>
    <t xml:space="preserve">13212</t>
  </si>
  <si>
    <t xml:space="preserve">Damaged 2797VC socket</t>
  </si>
  <si>
    <t xml:space="preserve">216340381</t>
  </si>
  <si>
    <t xml:space="preserve">2026-02-04</t>
  </si>
  <si>
    <t xml:space="preserve">813</t>
  </si>
  <si>
    <t xml:space="preserve">CKPT*C1/3*R0/1*D*Collier HS MIP*SD@*</t>
  </si>
  <si>
    <t xml:space="preserve">1028304301, 1028304491</t>
  </si>
  <si>
    <t xml:space="preserve">216394948</t>
  </si>
  <si>
    <t xml:space="preserve">2026-02-10</t>
  </si>
  <si>
    <t xml:space="preserve">809</t>
  </si>
  <si>
    <t xml:space="preserve">CKPT*C4/5*G*Montage x2 non conf MIP*RL*</t>
  </si>
  <si>
    <t xml:space="preserve">1028411423, 1028411928</t>
  </si>
  <si>
    <t xml:space="preserve">216457592</t>
  </si>
  <si>
    <t xml:space="preserve">2026-02-16</t>
  </si>
  <si>
    <t xml:space="preserve">2150</t>
  </si>
  <si>
    <t xml:space="preserve">vis manquante 312VU</t>
  </si>
  <si>
    <t xml:space="preserve">1028454717</t>
  </si>
  <si>
    <t xml:space="preserve">216501197</t>
  </si>
  <si>
    <t xml:space="preserve">2026-02-20</t>
  </si>
  <si>
    <t xml:space="preserve">815</t>
  </si>
  <si>
    <t xml:space="preserve">CKPT*C4/5*D*Orientation Backshel NC*SD@*</t>
  </si>
  <si>
    <t xml:space="preserve">1028522896</t>
  </si>
  <si>
    <t xml:space="preserve">216573781</t>
  </si>
  <si>
    <t xml:space="preserve">2026-02-27</t>
  </si>
  <si>
    <t xml:space="preserve">DST1</t>
  </si>
  <si>
    <t xml:space="preserve">13259</t>
  </si>
  <si>
    <t xml:space="preserve">NoE from Supplier</t>
  </si>
  <si>
    <t xml:space="preserve">1028699551, 1028699569</t>
  </si>
  <si>
    <t xml:space="preserve">216640513</t>
  </si>
  <si>
    <t xml:space="preserve">2026-03-06</t>
  </si>
  <si>
    <t xml:space="preserve">814</t>
  </si>
  <si>
    <t xml:space="preserve">CRG1-FR39/40-LH-BACKSHELL-BE</t>
  </si>
  <si>
    <t xml:space="preserve">1028741420</t>
  </si>
  <si>
    <t xml:space="preserve">216642382</t>
  </si>
  <si>
    <t xml:space="preserve">797</t>
  </si>
  <si>
    <t xml:space="preserve">FOD-WINGBOX-LHS-RIB2-521DB-IN-FOD-HA</t>
  </si>
  <si>
    <t xml:space="preserve">PNC</t>
  </si>
  <si>
    <t xml:space="preserve">216650708</t>
  </si>
  <si>
    <t xml:space="preserve">2026-03-07</t>
  </si>
  <si>
    <t xml:space="preserve">AFM1</t>
  </si>
  <si>
    <t xml:space="preserve">13117</t>
  </si>
  <si>
    <t xml:space="preserve">ESAO/ENG 2/SERVICE INTERPHONE INOP</t>
  </si>
  <si>
    <t xml:space="preserve">1028735698</t>
  </si>
  <si>
    <t xml:space="preserve">216651361</t>
  </si>
  <si>
    <t xml:space="preserve">2026-03-08</t>
  </si>
  <si>
    <t xml:space="preserve">13143</t>
  </si>
  <si>
    <t xml:space="preserve">ESAO/GTI/1GA Circuit breaker tripping</t>
  </si>
  <si>
    <t xml:space="preserve">216666114</t>
  </si>
  <si>
    <t xml:space="preserve">2026-03-09</t>
  </si>
  <si>
    <t xml:space="preserve">ELEC/CARGO1/FTI/BONDINGBRAID/DISCONNECT</t>
  </si>
  <si>
    <t xml:space="preserve">216668677</t>
  </si>
  <si>
    <t xml:space="preserve">2026-03-10</t>
  </si>
  <si>
    <t xml:space="preserve">817</t>
  </si>
  <si>
    <t xml:space="preserve">CKPT*C9*L22*D*Détrompeur cassé*MV*</t>
  </si>
  <si>
    <t xml:space="preserve">1028762697, 1028762835</t>
  </si>
  <si>
    <t xml:space="preserve">216672801</t>
  </si>
  <si>
    <t xml:space="preserve">A-DU</t>
  </si>
  <si>
    <t xml:space="preserve">ESAO/GTI/1GA Circuit Breaker Tripping</t>
  </si>
  <si>
    <t xml:space="preserve">1028762098</t>
  </si>
  <si>
    <t xml:space="preserve">216678821</t>
  </si>
  <si>
    <t xml:space="preserve">823</t>
  </si>
  <si>
    <t xml:space="preserve">CKPT*C6*L24/25*D*Prise harnais NC*BA@*</t>
  </si>
  <si>
    <t xml:space="preserve">216696565</t>
  </si>
  <si>
    <t xml:space="preserve">2026-03-11</t>
  </si>
  <si>
    <t xml:space="preserve">ELEC/CARGO1/HARNESS/CLASH/ESN/FTI</t>
  </si>
  <si>
    <t xml:space="preserve">17063910</t>
  </si>
  <si>
    <t xml:space="preserve">2026-03-12</t>
  </si>
  <si>
    <t xml:space="preserve">51</t>
  </si>
  <si>
    <t xml:space="preserve">2151</t>
  </si>
  <si>
    <t xml:space="preserve">ERGOT WARNING HORN H.S.</t>
  </si>
  <si>
    <t xml:space="preserve">REJ</t>
  </si>
  <si>
    <t xml:space="preserve">216707983</t>
  </si>
  <si>
    <t xml:space="preserve">NC.ITEM/CARGO1/ATTENUATOR/CAP</t>
  </si>
  <si>
    <t xml:space="preserve">1028923893</t>
  </si>
  <si>
    <t xml:space="preserve">216748577</t>
  </si>
  <si>
    <t xml:space="preserve">2026-03-17</t>
  </si>
  <si>
    <t xml:space="preserve">804</t>
  </si>
  <si>
    <t xml:space="preserve">Bite Test RAIMS Fault Code 2350F092</t>
  </si>
  <si>
    <t xml:space="preserve">1029047483</t>
  </si>
  <si>
    <t xml:space="preserve">216750973</t>
  </si>
  <si>
    <t xml:space="preserve">2145</t>
  </si>
  <si>
    <t xml:space="preserve">Inversion de câble sur le 9PH</t>
  </si>
  <si>
    <t xml:space="preserve">1028908230</t>
  </si>
  <si>
    <t xml:space="preserve">216854475</t>
  </si>
  <si>
    <t xml:space="preserve">2026-03-26</t>
  </si>
  <si>
    <t xml:space="preserve">802</t>
  </si>
  <si>
    <t xml:space="preserve">BF4-FR63/64-197AT-LH-ABS2210B301F-DC</t>
  </si>
  <si>
    <t xml:space="preserve">216926613</t>
  </si>
  <si>
    <t xml:space="preserve">2026-04-03</t>
  </si>
  <si>
    <t xml:space="preserve">Rampe cassée</t>
  </si>
  <si>
    <t xml:space="preserve">1029183367</t>
  </si>
  <si>
    <t xml:space="preserve">216937725</t>
  </si>
  <si>
    <t xml:space="preserve">2026-04-05</t>
  </si>
  <si>
    <t xml:space="preserve">2148</t>
  </si>
  <si>
    <t xml:space="preserve">FIN breakers érronés</t>
  </si>
  <si>
    <t xml:space="preserve">216947614</t>
  </si>
  <si>
    <t xml:space="preserve">2026-04-07</t>
  </si>
  <si>
    <t xml:space="preserve">2149</t>
  </si>
  <si>
    <t xml:space="preserve">Interference 313VU/265VT structure</t>
  </si>
  <si>
    <t xml:space="preserve">1029181729</t>
  </si>
  <si>
    <t xml:space="preserve">216981246</t>
  </si>
  <si>
    <t xml:space="preserve">2026-04-09</t>
  </si>
  <si>
    <t xml:space="preserve">2152</t>
  </si>
  <si>
    <t xml:space="preserve">17CE manquant</t>
  </si>
  <si>
    <t xml:space="preserve">217037645</t>
  </si>
  <si>
    <t xml:space="preserve">2026-04-15</t>
  </si>
  <si>
    <t xml:space="preserve">13115</t>
  </si>
  <si>
    <t xml:space="preserve">ESAO: GTI: 15XE-A INOP</t>
  </si>
  <si>
    <t xml:space="preserve">EXC</t>
  </si>
  <si>
    <t xml:space="preserve">1029256022</t>
  </si>
  <si>
    <t xml:space="preserve">217070011</t>
  </si>
  <si>
    <t xml:space="preserve">2026-04-20</t>
  </si>
  <si>
    <t xml:space="preserve">2141</t>
  </si>
  <si>
    <t xml:space="preserve">Contact tordu Borne 20 3667VC</t>
  </si>
  <si>
    <t xml:space="preserve">1029291474</t>
  </si>
  <si>
    <t xml:space="preserve">217143872</t>
  </si>
  <si>
    <t xml:space="preserve">2026-04-27</t>
  </si>
  <si>
    <t xml:space="preserve">816</t>
  </si>
  <si>
    <t xml:space="preserve">CKPT*C8/9*L21/22*D&amp;G*Etiquette mqte*FB*</t>
  </si>
  <si>
    <t xml:space="preserve">ACC</t>
  </si>
  <si>
    <t xml:space="preserve">217171047</t>
  </si>
  <si>
    <t xml:space="preserve">2026-04-29</t>
  </si>
  <si>
    <t xml:space="preserve">2158</t>
  </si>
  <si>
    <t xml:space="preserve">Equipement 314VU VT mal positionnée</t>
  </si>
  <si>
    <t xml:space="preserve">217171214</t>
  </si>
  <si>
    <t xml:space="preserve">Equipement 313VU VT mal positionnée</t>
  </si>
  <si>
    <t xml:space="preserve">1029489899</t>
  </si>
  <si>
    <t xml:space="preserve">217253630</t>
  </si>
  <si>
    <t xml:space="preserve">2026-05-11</t>
  </si>
  <si>
    <t xml:space="preserve">820</t>
  </si>
  <si>
    <t xml:space="preserve">Backshell manquant</t>
  </si>
  <si>
    <t xml:space="preserve">1029573005</t>
  </si>
  <si>
    <t xml:space="preserve">217363914</t>
  </si>
  <si>
    <t xml:space="preserve">2026-05-25</t>
  </si>
  <si>
    <t xml:space="preserve">etiquette identification absenteSur536VU</t>
  </si>
  <si>
    <t xml:space="preserve">1029783101</t>
  </si>
  <si>
    <t xml:space="preserve">217406539</t>
  </si>
  <si>
    <t xml:space="preserve">2026-05-29</t>
  </si>
  <si>
    <t xml:space="preserve">839</t>
  </si>
  <si>
    <t xml:space="preserve">ATT*FB*C8/9*D*étiquettes VCs mqtes*BA@*</t>
  </si>
  <si>
    <t xml:space="preserve">1029838552, 1029838655</t>
  </si>
  <si>
    <t xml:space="preserve">217494684</t>
  </si>
  <si>
    <t xml:space="preserve">2026-06-08</t>
  </si>
  <si>
    <t xml:space="preserve">162</t>
  </si>
  <si>
    <t xml:space="preserve">Cock D&amp;G Manque 3 prises F/O (2220VB)</t>
  </si>
  <si>
    <t xml:space="preserve">1029990837, 1030008895</t>
  </si>
  <si>
    <t xml:space="preserve">217506669</t>
  </si>
  <si>
    <t xml:space="preserve">2026-06-09</t>
  </si>
  <si>
    <t xml:space="preserve">2153</t>
  </si>
  <si>
    <t xml:space="preserve">Disjoncteur 15PH défectueux</t>
  </si>
  <si>
    <t xml:space="preserve">217507424</t>
  </si>
  <si>
    <t xml:space="preserve">840</t>
  </si>
  <si>
    <t xml:space="preserve">CKPT*C2/3*G*Orientation Backshell*FB*</t>
  </si>
  <si>
    <t xml:space="preserve">1029958376</t>
  </si>
  <si>
    <t xml:space="preserve">217509313</t>
  </si>
  <si>
    <t xml:space="preserve">837</t>
  </si>
  <si>
    <t xml:space="preserve">CKPT*C7/8*L23/25*G*Insert prise mqt*SD@*</t>
  </si>
  <si>
    <t xml:space="preserve">217513743</t>
  </si>
  <si>
    <t xml:space="preserve">Switch 8HL HS</t>
  </si>
  <si>
    <t xml:space="preserve">1029994501</t>
  </si>
  <si>
    <t xml:space="preserve">217542391</t>
  </si>
  <si>
    <t xml:space="preserve">2026-06-12</t>
  </si>
  <si>
    <t xml:space="preserve">EQPMT/_/MECA</t>
  </si>
  <si>
    <t xml:space="preserve">1029995826</t>
  </si>
  <si>
    <t xml:space="preserve">217582044</t>
  </si>
  <si>
    <t xml:space="preserve">2026-06-16</t>
  </si>
  <si>
    <t xml:space="preserve">2136</t>
  </si>
  <si>
    <t xml:space="preserve">1RE1 HF1 Inop</t>
  </si>
  <si>
    <t xml:space="preserve">1030112449</t>
  </si>
  <si>
    <t xml:space="preserve">17232524</t>
  </si>
  <si>
    <t xml:space="preserve">2026-06-18</t>
  </si>
  <si>
    <t xml:space="preserve">2163</t>
  </si>
  <si>
    <t xml:space="preserve">WARNING HORN DETROMPAGE HS</t>
  </si>
  <si>
    <t xml:space="preserve">217666206</t>
  </si>
  <si>
    <t xml:space="preserve">2026-06-24</t>
  </si>
  <si>
    <t xml:space="preserve">2159</t>
  </si>
  <si>
    <t xml:space="preserve">313VU VT mal positionnée</t>
  </si>
  <si>
    <t xml:space="preserve">217733722</t>
  </si>
  <si>
    <t xml:space="preserve">2026-07-01</t>
  </si>
  <si>
    <t xml:space="preserve">2160</t>
  </si>
  <si>
    <t xml:space="preserve">312 VU endommagé</t>
  </si>
  <si>
    <t xml:space="preserve">1030303190</t>
  </si>
  <si>
    <t xml:space="preserve">217803687</t>
  </si>
  <si>
    <t xml:space="preserve">2026-07-08</t>
  </si>
  <si>
    <t xml:space="preserve">2161</t>
  </si>
  <si>
    <t xml:space="preserve">1030337485</t>
  </si>
  <si>
    <t xml:space="preserve">217804240</t>
  </si>
  <si>
    <t xml:space="preserve">314VU VT mal positionnée</t>
  </si>
  <si>
    <t xml:space="preserve">1030338005</t>
  </si>
  <si>
    <t xml:space="preserve">217874230</t>
  </si>
  <si>
    <t xml:space="preserve">2026-07-16</t>
  </si>
  <si>
    <t xml:space="preserve">853</t>
  </si>
  <si>
    <t xml:space="preserve">CKPT*C3/5*L22*D&amp;G*Colliers mal pos*SD@*</t>
  </si>
  <si>
    <t xml:space="preserve">217876176</t>
  </si>
  <si>
    <t xml:space="preserve">2162</t>
  </si>
  <si>
    <t xml:space="preserve">217876510</t>
  </si>
  <si>
    <t xml:space="preserve">217913046</t>
  </si>
  <si>
    <t xml:space="preserve">2026-07-21</t>
  </si>
  <si>
    <t xml:space="preserve">854</t>
  </si>
  <si>
    <t xml:space="preserve">218048183</t>
  </si>
  <si>
    <t xml:space="preserve">2026-08-20</t>
  </si>
  <si>
    <t xml:space="preserve">VU/BUTTON/MECA</t>
  </si>
  <si>
    <t xml:space="preserve">1030684585</t>
  </si>
  <si>
    <t xml:space="preserve">218069153</t>
  </si>
  <si>
    <t xml:space="preserve">2026-08-24</t>
  </si>
  <si>
    <t xml:space="preserve">833</t>
  </si>
  <si>
    <t xml:space="preserve">WING-FAIR-RHS-REFF-LOCK WIRE-BH-621AB</t>
  </si>
  <si>
    <t xml:space="preserve">NDC</t>
  </si>
  <si>
    <t xml:space="preserve">218072156</t>
  </si>
  <si>
    <t xml:space="preserve">WINGBOX-RHS-621DB-IN-2446VT590-BCA</t>
  </si>
  <si>
    <t xml:space="preserve">218121463</t>
  </si>
  <si>
    <t xml:space="preserve">2026-08-28</t>
  </si>
  <si>
    <t xml:space="preserve">856</t>
  </si>
  <si>
    <t xml:space="preserve">CKPT*C1*L22/21*D*Gaine écrasée*BA@*</t>
  </si>
  <si>
    <t xml:space="preserve">1030818179, 1030818370</t>
  </si>
  <si>
    <t xml:space="preserve">218121468</t>
  </si>
  <si>
    <t xml:space="preserve">CKPT*C1*L22/23*G*Gaine écrasée*BA@*</t>
  </si>
  <si>
    <t xml:space="preserve">1030817749, 1030818117, 1030818361</t>
  </si>
  <si>
    <t xml:space="preserve">218149694</t>
  </si>
  <si>
    <t xml:space="preserve">2026-09-01</t>
  </si>
  <si>
    <t xml:space="preserve">Filetage abîmé capteur 219ZCA965</t>
  </si>
  <si>
    <t xml:space="preserve">218177900</t>
  </si>
  <si>
    <t xml:space="preserve">2026-09-03</t>
  </si>
  <si>
    <t xml:space="preserve">2165</t>
  </si>
  <si>
    <t xml:space="preserve">312 VU endommagé planche de bord</t>
  </si>
  <si>
    <t xml:space="preserve">1030917181</t>
  </si>
  <si>
    <t xml:space="preserve">218211772</t>
  </si>
  <si>
    <t xml:space="preserve">2026-09-08</t>
  </si>
  <si>
    <t xml:space="preserve">2164</t>
  </si>
  <si>
    <t xml:space="preserve">312VU endommagé</t>
  </si>
  <si>
    <t xml:space="preserve">1030953684</t>
  </si>
  <si>
    <t xml:space="preserve">218221555</t>
  </si>
  <si>
    <t xml:space="preserve">2026-09-09</t>
  </si>
  <si>
    <t xml:space="preserve">858</t>
  </si>
  <si>
    <t xml:space="preserve">ATT*FB*C6*L25*D*Mauvais backshell *LA@*</t>
  </si>
  <si>
    <t xml:space="preserve">1030989646, 1030991132</t>
  </si>
  <si>
    <t xml:space="preserve">218293184</t>
  </si>
  <si>
    <t xml:space="preserve">2026-09-16</t>
  </si>
  <si>
    <t xml:space="preserve">165</t>
  </si>
  <si>
    <t xml:space="preserve">OVHP-MB234 Mqt sachet sur prises OLME TO</t>
  </si>
  <si>
    <t xml:space="preserve">UNKNOWN</t>
  </si>
  <si>
    <t xml:space="preserve">218348034</t>
  </si>
  <si>
    <t xml:space="preserve">2026-09-22</t>
  </si>
  <si>
    <t xml:space="preserve">CKPT*C7/8*L24/25*D*Mauvais Backshell*FB*</t>
  </si>
  <si>
    <t xml:space="preserve">1031170705, 1031170727</t>
  </si>
  <si>
    <t xml:space="preserve">218348243</t>
  </si>
  <si>
    <t xml:space="preserve">1031171305, 1031171401</t>
  </si>
  <si>
    <t xml:space="preserve">218390072</t>
  </si>
  <si>
    <t xml:space="preserve">2026-09-25</t>
  </si>
  <si>
    <t xml:space="preserve">CKPT*C7/8*D&amp;G*Mauvais Backshell*FB*</t>
  </si>
  <si>
    <t xml:space="preserve">1031227280, 1031227284</t>
  </si>
  <si>
    <t xml:space="preserve">218390076</t>
  </si>
  <si>
    <t xml:space="preserve">857</t>
  </si>
  <si>
    <t xml:space="preserve">1031220048, 1031220696</t>
  </si>
  <si>
    <t xml:space="preserve">218390345</t>
  </si>
  <si>
    <t xml:space="preserve">861</t>
  </si>
  <si>
    <t xml:space="preserve">1031227573, 1031227576</t>
  </si>
  <si>
    <t xml:space="preserve">218392061</t>
  </si>
  <si>
    <t xml:space="preserve">859</t>
  </si>
  <si>
    <t xml:space="preserve">CKPT*C7/8*D*Backshell 7HT2A NC*BA@*</t>
  </si>
  <si>
    <t xml:space="preserve">1031227496, 1031227500</t>
  </si>
  <si>
    <t xml:space="preserve">Total</t>
  </si>
  <si>
    <t xml:space="preserve">H4. BF24 / BF20 cables cut for stock on rework orders (A330 print room, September 2026)</t>
  </si>
  <si>
    <t xml:space="preserve">37 S03 orders on work centre 4FEM0E14 asking for bundles of 50 cables. The PTVU line had raised disruptions about BF24 quantities in Elec ABC and missing BF24 cables.</t>
  </si>
  <si>
    <t xml:space="preserve">Question: is this a consequence of non-quality (cables remade or replaced because of defects) or a definition / kitting problem (cut lists not giving the line the right cables)? Who to ask: methods (Elec ABC quantities), the A330 print room, the PTVU line leader. The related disruptions and NCs are listed further down.</t>
  </si>
  <si>
    <t xml:space="preserve">Confirmed</t>
  </si>
  <si>
    <t xml:space="preserve">Request</t>
  </si>
  <si>
    <t xml:space="preserve">2026-09-17</t>
  </si>
  <si>
    <t xml:space="preserve">2026-09-21</t>
  </si>
  <si>
    <t xml:space="preserve">2026-09-23</t>
  </si>
  <si>
    <t xml:space="preserve">Débiter câbles BF24 Débiter câbles BF24 Veuillez débiter du BF24 =&gt; 3 fagots de 50 câbles de 100cm</t>
  </si>
  <si>
    <t xml:space="preserve">2026-09-28</t>
  </si>
  <si>
    <t xml:space="preserve">Débiter câbles BF24 Débiter câbles BF24 Veuillez débiter du BF24 =&gt; 2 fagots de 50 câbles de 100cm</t>
  </si>
  <si>
    <t xml:space="preserve">2026-09-30</t>
  </si>
  <si>
    <t xml:space="preserve">Related disruptions (mention BF24 / BF20)</t>
  </si>
  <si>
    <t xml:space="preserve">Disruption</t>
  </si>
  <si>
    <t xml:space="preserve">Opened</t>
  </si>
  <si>
    <t xml:space="preserve">Line</t>
  </si>
  <si>
    <t xml:space="preserve">Time lost (min)</t>
  </si>
  <si>
    <t xml:space="preserve">What the operator wrote</t>
  </si>
  <si>
    <t xml:space="preserve">Kind</t>
  </si>
  <si>
    <t xml:space="preserve">OZ2037505</t>
  </si>
  <si>
    <t xml:space="preserve">IMPRESSION_A380</t>
  </si>
  <si>
    <t xml:space="preserve">OF 57564460 RECHANGE : il est demandé des manchons sur SOI mais pas de câble à débiter...des câbles BF24 et BF18 apparaissent sur Fiche suiveuse.Doit on livrer que les manchons ?</t>
  </si>
  <si>
    <t xml:space="preserve">SUPTECH - Probleme OF-OT et Definition</t>
  </si>
  <si>
    <t xml:space="preserve">OZ2099671</t>
  </si>
  <si>
    <t xml:space="preserve">2026-06-30</t>
  </si>
  <si>
    <t xml:space="preserve">PTVU</t>
  </si>
  <si>
    <t xml:space="preserve">dans elec abc l'onglet qté de type/jauge, pour la VT il est demandé de sertir 64 câbles de bf24 avec en3155-016m2018 alors qu'en comptant à partir de chaque modules il en faut seulement 13</t>
  </si>
  <si>
    <t xml:space="preserve">OZ2146779</t>
  </si>
  <si>
    <t xml:space="preserve">2026-08-13</t>
  </si>
  <si>
    <t xml:space="preserve">Sur Elec ABC, dans le menu "Quantité de type/jauge (élément d'extrémité)", il y a marqué 22 câbles en BF24 contact 16M2018 mais il n'y a en réalité que 12 câbles à sertir avec ces contacts et les autres doivent être sertis avec les contacts 16M2222</t>
  </si>
  <si>
    <t xml:space="preserve">OZ2170456</t>
  </si>
  <si>
    <t xml:space="preserve">2026-08-27</t>
  </si>
  <si>
    <t xml:space="preserve">Pièce manquante Bonjour, afin de répondre aux besoins de la production, nous sollicitons la fourniture de câbles BF24 d'une longueur de 80 cm. Merci de vous référer au courriel envoyé par Rachid A.</t>
  </si>
  <si>
    <t xml:space="preserve">LOG - Probleme servitude</t>
  </si>
  <si>
    <t xml:space="preserve">OZ2188489</t>
  </si>
  <si>
    <t xml:space="preserve">2026-09-04</t>
  </si>
  <si>
    <t xml:space="preserve">Pièce manquante MQT : Câbles BF24 en 100cm et 80cm.</t>
  </si>
  <si>
    <t xml:space="preserve">OZ2243953</t>
  </si>
  <si>
    <t xml:space="preserve">2026-09-29</t>
  </si>
  <si>
    <t xml:space="preserve">IMPRESSION_A330</t>
  </si>
  <si>
    <t xml:space="preserve">F955.00412.001.95 OF 57702138 57702341 57702244 57702544 57702549 57701440 Incohérence entre débit cables BF sur Fiche suiveuse et SOI Fiche suiveuse BF 24 L=80cm 29 PCES SUR SOI : 31 câbles de 75cm, 4 de 65cm et 1 de 45 cm BF18 L= 80cm 2 PCES SUR SOI : 2 cables de 75cm</t>
  </si>
  <si>
    <t xml:space="preserve">Related NCs (2026 NCs mentioning BF24 / BF20)</t>
  </si>
  <si>
    <t xml:space="preserve">Type</t>
  </si>
  <si>
    <t xml:space="preserve">Long text (extract)</t>
  </si>
  <si>
    <t xml:space="preserve">216074163</t>
  </si>
  <si>
    <t xml:space="preserve">2026-01-08</t>
  </si>
  <si>
    <t xml:space="preserve">TEST</t>
  </si>
  <si>
    <t xml:space="preserve">14/AIRBUS OPERATIONS SAS ) Tél. 33607657447 NonConformity 0001 : Type of nonconformity : Connection * Def 1-T01 : Câble BF24 N° : 2351-0459 manquant entre 19RN 1 ET 18RN 2. Def 2-T01 : Câble BF24 N° : 2351-0458 manquant entre 19RN 2 ET 18RN 1. Merci </t>
  </si>
  <si>
    <t xml:space="preserve">216111281</t>
  </si>
  <si>
    <t xml:space="preserve">2026-01-13</t>
  </si>
  <si>
    <t xml:space="preserve">Retouche Test 612VU MSN 02148</t>
  </si>
  <si>
    <t xml:space="preserve">14/AIRBUS OPERATIONS SAS ) Tél. 33607657447 NonConformity 0001 : Type of nonconformity : Connection * Def 1-T01 : Câble BF 24 N° : 2351-0303 manquant entre 15RN 1 et 16RN 2. Def 2-T01 : Câble BF 24 N° : 2351-0302 manquant entre 15RN 2 et 16RN 1. Merc</t>
  </si>
  <si>
    <t xml:space="preserve">216195310</t>
  </si>
  <si>
    <t xml:space="preserve">2026-01-21</t>
  </si>
  <si>
    <t xml:space="preserve">Retouche Test 313VU MSN 02145.</t>
  </si>
  <si>
    <t xml:space="preserve">607657447 NonConformity 0001 : Type of nonconformity : Connection * Def 1-T01 : 4 Câbles manquants en 261VT 1 : - Câble BF24 N°:3163-0918 manquant entre 261VT 1 A et 54FP1 A B1. - Câble BF24 N°:3163-0919 manquant entre 261VT 1 B et 54FP1 A A1. - Câbl</t>
  </si>
  <si>
    <t xml:space="preserve">216195654</t>
  </si>
  <si>
    <t xml:space="preserve">Retouche Test 31'VU MSN 02145.</t>
  </si>
  <si>
    <t xml:space="preserve">607657447 NonConformity 0001 : Type of nonconformity : Connection * Def 1-T01 : 3 Câbles manquants en 260VT 1 : - Câble BF 24 N° : 3163-0924 Manquant entre 260VT 1 A et 54FP2 A B1. - Câble BF 24 N° : 3163-0925 Manquant entre 260VT 1 B et 54FP2 A A1. </t>
  </si>
  <si>
    <t xml:space="preserve">216851910</t>
  </si>
  <si>
    <t xml:space="preserve">Retouche Test 417VU MSN 02158.</t>
  </si>
  <si>
    <t xml:space="preserve">14/AIRBUS OPERATIONS SAS ) Tél. 33607657447 NonConformity 0001 : Type of nonconformity : Connection * Def 1-T02 : Câble BF24 N° : 3163-0588 branché en 1WS A 7 au lieu de 8WK1 A 7. Merci de remettre le VU en conformité. -- -- -- -- -- -- -- -- -- -- -</t>
  </si>
  <si>
    <t xml:space="preserve">217019027</t>
  </si>
  <si>
    <t xml:space="preserve">2026-04-14</t>
  </si>
  <si>
    <t xml:space="preserve">Retouche Test 245VU MSN 02157.</t>
  </si>
  <si>
    <t xml:space="preserve">OPERATIONS SAS ) Tél. 33607657447 NonConformity 0001 : Type of nonconformity : Fault in continuity * Def 1-T03 : Shunt BF24 N° : 3314-0919 Manquant entre 651VT3 C et 651VT5 R. Merci de remettre le VU en conformité. -- -- -- -- -- -- -- -- -- -- -- --</t>
  </si>
  <si>
    <t xml:space="preserve">217055268</t>
  </si>
  <si>
    <t xml:space="preserve">2026-04-17</t>
  </si>
  <si>
    <t xml:space="preserve">Retouche Test 616VU MSN 02157.</t>
  </si>
  <si>
    <t xml:space="preserve">OPERATIONS SAS ) Tél. 33607657447 NonConformity 0001 : Type of nonconformity : Fault in continuity * Def 1-T01 : Câble BF24 N° : 2351-0458 Manquant entre 18RN 1 et 19RN 2. Def 2-T01 : Câble BF24 N° : 2351-0459 Manquant entre 18RN 2 et 19RN 1. Câbles </t>
  </si>
  <si>
    <t xml:space="preserve">217140319</t>
  </si>
  <si>
    <t xml:space="preserve">QUALITE</t>
  </si>
  <si>
    <t xml:space="preserve">Cables manquants suite NC 217055268</t>
  </si>
  <si>
    <t xml:space="preserve">ng Part/Component / Incomplete Kit * Suite à la NC 217055268 , il a été détecté lors du test deux câbles manquant. * 1- BF24 N° 2351-0458 entre 18RN 1 et 19RN 2 2- BF24 N° 2351-0459 entre 18RN 2 et 19RN 1 * Merci de commander ces câbles pour effectue</t>
  </si>
  <si>
    <t xml:space="preserve">217451299</t>
  </si>
  <si>
    <t xml:space="preserve">2026-06-03</t>
  </si>
  <si>
    <t xml:space="preserve">Retouches Test 245VU MSN 02160.</t>
  </si>
  <si>
    <t xml:space="preserve">nconformity : Connection * Def 1-Q06 : Le Câblage en 653VT 7 a été effectué avec le MSN 02159 au lieu de 02160. - Câble BF24 N° : 3314-1130 branché entre 653VT 7L et 650VC BB à déposer. Def 2-Q06 : Le Câblage en 653VT 7 a été effectué avec le MSN 021</t>
  </si>
  <si>
    <t xml:space="preserve">H5. Reworked NCs with no rework order</t>
  </si>
  <si>
    <t xml:space="preserve">Decision 'rework', FTO2 liable, raised at FTO2, but no rework order in the NC's linked_document (an AW_/WO_/RS_ number different from its own work order).</t>
  </si>
  <si>
    <t xml:space="preserve">96-97% of reworked NCs get their own rework order. For these few, check in SAP whether the rework was done on the spot (no order needed) or whether an order exists but was never linked to the NC. If orders exist unlinked, the 'rework order' rule misses them.</t>
  </si>
  <si>
    <t xml:space="preserve">Year</t>
  </si>
  <si>
    <t xml:space="preserve">NC type</t>
  </si>
  <si>
    <t xml:space="preserve">Workflow</t>
  </si>
  <si>
    <t xml:space="preserve">Station</t>
  </si>
  <si>
    <t xml:space="preserve">Written by</t>
  </si>
  <si>
    <t xml:space="preserve">linked_document</t>
  </si>
  <si>
    <t xml:space="preserve">Own work order</t>
  </si>
  <si>
    <t xml:space="preserve">Fixed on the spot? (Y/N)</t>
  </si>
  <si>
    <t xml:space="preserve">Order exists but link missing? (Y/N)</t>
  </si>
  <si>
    <t xml:space="preserve">218413734</t>
  </si>
  <si>
    <t xml:space="preserve">2026</t>
  </si>
  <si>
    <t xml:space="preserve">NC Interne</t>
  </si>
  <si>
    <t xml:space="preserve">REW-LIGNE-V</t>
  </si>
  <si>
    <t xml:space="preserve">V4QMI2</t>
  </si>
  <si>
    <t xml:space="preserve">QRT/DERICHEBOURG AERONAUTICS</t>
  </si>
  <si>
    <t xml:space="preserve">Retouches finales</t>
  </si>
  <si>
    <t xml:space="preserve">001030718127</t>
  </si>
  <si>
    <t xml:space="preserve">218409412</t>
  </si>
  <si>
    <t xml:space="preserve">TEST-RET</t>
  </si>
  <si>
    <t xml:space="preserve">V42RA1</t>
  </si>
  <si>
    <t xml:space="preserve">OLMEP14/AIRBUS OPERATIONS SAS</t>
  </si>
  <si>
    <t xml:space="preserve">RETOUCHES TEST MSN0870.</t>
  </si>
  <si>
    <t xml:space="preserve">001030163689</t>
  </si>
  <si>
    <t xml:space="preserve">218320671</t>
  </si>
  <si>
    <t xml:space="preserve">2026-09-18</t>
  </si>
  <si>
    <t xml:space="preserve">REW-LIGNE-D</t>
  </si>
  <si>
    <t xml:space="preserve">D42D01</t>
  </si>
  <si>
    <t xml:space="preserve">QR/DERICHEBOURG AERONAUTICS</t>
  </si>
  <si>
    <t xml:space="preserve">Prises 10LB-A et 7588VC-A non torquées</t>
  </si>
  <si>
    <t xml:space="preserve">001030822062</t>
  </si>
  <si>
    <t xml:space="preserve">218315000</t>
  </si>
  <si>
    <t xml:space="preserve">CABLES</t>
  </si>
  <si>
    <t xml:space="preserve">REW-CA-IMP-V</t>
  </si>
  <si>
    <t xml:space="preserve">V4V120</t>
  </si>
  <si>
    <t xml:space="preserve">Câble trop court</t>
  </si>
  <si>
    <t xml:space="preserve">001030811458</t>
  </si>
  <si>
    <t xml:space="preserve">218208196</t>
  </si>
  <si>
    <t xml:space="preserve">CONTROLE FINAL</t>
  </si>
  <si>
    <t xml:space="preserve">V4V214</t>
  </si>
  <si>
    <t xml:space="preserve">QLOT1/AIRBUS OPERATIONS SAS</t>
  </si>
  <si>
    <t xml:space="preserve">Aléa OZ2193509 Prise abimée EN3645-M6CN9</t>
  </si>
  <si>
    <t xml:space="preserve">001030355794</t>
  </si>
  <si>
    <t xml:space="preserve">218105386</t>
  </si>
  <si>
    <t xml:space="preserve">REW-LIGNE-F</t>
  </si>
  <si>
    <t xml:space="preserve">F4F012</t>
  </si>
  <si>
    <t xml:space="preserve">FOURREAU MONTE A L'ENVERS</t>
  </si>
  <si>
    <t xml:space="preserve">001030172079</t>
  </si>
  <si>
    <t xml:space="preserve">218069982</t>
  </si>
  <si>
    <t xml:space="preserve">REW-TEST-F</t>
  </si>
  <si>
    <t xml:space="preserve">F4F015</t>
  </si>
  <si>
    <t xml:space="preserve">SHUNTS MANQUANTS</t>
  </si>
  <si>
    <t xml:space="preserve">001030067999</t>
  </si>
  <si>
    <t xml:space="preserve">218005905</t>
  </si>
  <si>
    <t xml:space="preserve">2026-08-14</t>
  </si>
  <si>
    <t xml:space="preserve">V4V142</t>
  </si>
  <si>
    <t xml:space="preserve">FOd contact femelle : MIP 858</t>
  </si>
  <si>
    <t xml:space="preserve">001029493692</t>
  </si>
  <si>
    <t xml:space="preserve">217530835</t>
  </si>
  <si>
    <t xml:space="preserve">2026-06-11</t>
  </si>
  <si>
    <t xml:space="preserve">REW-TEST-V</t>
  </si>
  <si>
    <t xml:space="preserve">RETOUCHE TEST MSN 853 CONTACT A REFAIRE</t>
  </si>
  <si>
    <t xml:space="preserve">001029148565</t>
  </si>
  <si>
    <t xml:space="preserve">217407744</t>
  </si>
  <si>
    <t xml:space="preserve">DEMANDE DE DQN</t>
  </si>
  <si>
    <t xml:space="preserve">LIGNE-F-DQN</t>
  </si>
  <si>
    <t xml:space="preserve">M4MMIC</t>
  </si>
  <si>
    <t xml:space="preserve">Excessive shunt length on 8RZA connector</t>
  </si>
  <si>
    <t xml:space="preserve">001029267550</t>
  </si>
  <si>
    <t xml:space="preserve">217328612</t>
  </si>
  <si>
    <t xml:space="preserve">2026-05-20</t>
  </si>
  <si>
    <t xml:space="preserve">Harnais 452VB court</t>
  </si>
  <si>
    <t xml:space="preserve">001029405757</t>
  </si>
  <si>
    <t xml:space="preserve">217230702</t>
  </si>
  <si>
    <t xml:space="preserve">2026-05-07</t>
  </si>
  <si>
    <t xml:space="preserve">REW-CA-IMP-F</t>
  </si>
  <si>
    <t xml:space="preserve">F4F74C</t>
  </si>
  <si>
    <t xml:space="preserve">CABLE MANQUANT</t>
  </si>
  <si>
    <t xml:space="preserve">001029148720</t>
  </si>
  <si>
    <t xml:space="preserve">216820892</t>
  </si>
  <si>
    <t xml:space="preserve">2026-03-24</t>
  </si>
  <si>
    <t xml:space="preserve">REW-LIGNE-M</t>
  </si>
  <si>
    <t xml:space="preserve">M4M30C</t>
  </si>
  <si>
    <t xml:space="preserve">3 détrompeurs montés fabriqués par ATM</t>
  </si>
  <si>
    <t xml:space="preserve">001027381521</t>
  </si>
  <si>
    <t xml:space="preserve">216801004</t>
  </si>
  <si>
    <t xml:space="preserve">2026-03-23</t>
  </si>
  <si>
    <t xml:space="preserve">001028634452</t>
  </si>
  <si>
    <t xml:space="preserve">216764494</t>
  </si>
  <si>
    <t xml:space="preserve">2026-03-18</t>
  </si>
  <si>
    <t xml:space="preserve">D42F14</t>
  </si>
  <si>
    <t xml:space="preserve">Pince à sertir non conforme</t>
  </si>
  <si>
    <t xml:space="preserve">001027973023</t>
  </si>
  <si>
    <t xml:space="preserve">216699966</t>
  </si>
  <si>
    <t xml:space="preserve">V4V141</t>
  </si>
  <si>
    <t xml:space="preserve">Contrôle final qualité après test</t>
  </si>
  <si>
    <t xml:space="preserve">001027848168</t>
  </si>
  <si>
    <t xml:space="preserve">216381151</t>
  </si>
  <si>
    <t xml:space="preserve">2026-02-09</t>
  </si>
  <si>
    <t xml:space="preserve">QLOK310/AIRBUS OPERATIONS SAS</t>
  </si>
  <si>
    <t xml:space="preserve">Trous ovalisés hors tolérence</t>
  </si>
  <si>
    <t xml:space="preserve">001026799692</t>
  </si>
  <si>
    <t xml:space="preserve">213554463</t>
  </si>
  <si>
    <t xml:space="preserve">2025</t>
  </si>
  <si>
    <t xml:space="preserve">2025-02-18</t>
  </si>
  <si>
    <t xml:space="preserve">REW-LIG-ST-V</t>
  </si>
  <si>
    <t xml:space="preserve">OLMEP1/ERMA ELECTRONIQUE</t>
  </si>
  <si>
    <t xml:space="preserve">Câble AD24 2797-1126 court</t>
  </si>
  <si>
    <t xml:space="preserve">213618542</t>
  </si>
  <si>
    <t xml:space="preserve">2025-02-26</t>
  </si>
  <si>
    <t xml:space="preserve">F4F74G</t>
  </si>
  <si>
    <t xml:space="preserve">impossibilité d'appliquer torquage</t>
  </si>
  <si>
    <t xml:space="preserve">1023914810</t>
  </si>
  <si>
    <t xml:space="preserve">213510668</t>
  </si>
  <si>
    <t xml:space="preserve">2025-02-12</t>
  </si>
  <si>
    <t xml:space="preserve">LIGNE-DQN</t>
  </si>
  <si>
    <t xml:space="preserve">V4V115</t>
  </si>
  <si>
    <t xml:space="preserve">Support lacote petit routes 1S et 2S</t>
  </si>
  <si>
    <t xml:space="preserve">1023996325</t>
  </si>
  <si>
    <t xml:space="preserve">215109338</t>
  </si>
  <si>
    <t xml:space="preserve">2025-09-18</t>
  </si>
  <si>
    <t xml:space="preserve">S/N TEMP SELECTOR non conforme</t>
  </si>
  <si>
    <t xml:space="preserve">[TS_000000001019419485]</t>
  </si>
  <si>
    <t xml:space="preserve">1025848561</t>
  </si>
  <si>
    <t xml:space="preserve">215451241</t>
  </si>
  <si>
    <t xml:space="preserve">2025-10-23</t>
  </si>
  <si>
    <t xml:space="preserve">REC-RWK</t>
  </si>
  <si>
    <t xml:space="preserve">F42RC1</t>
  </si>
  <si>
    <t xml:space="preserve">CPB NOK</t>
  </si>
  <si>
    <t xml:space="preserve">1026915093</t>
  </si>
  <si>
    <t xml:space="preserve">215030360</t>
  </si>
  <si>
    <t xml:space="preserve">2025-09-10</t>
  </si>
  <si>
    <t xml:space="preserve">M4MOHF</t>
  </si>
  <si>
    <t xml:space="preserve">impossibilité d'appliquer torquage rampe</t>
  </si>
  <si>
    <t xml:space="preserve">1025486392</t>
  </si>
  <si>
    <t xml:space="preserve">215372645</t>
  </si>
  <si>
    <t xml:space="preserve">2025-10-15</t>
  </si>
  <si>
    <t xml:space="preserve">F4F74E</t>
  </si>
  <si>
    <t xml:space="preserve">ERREUR MONTAGE DECOUPLING UNIT</t>
  </si>
  <si>
    <t xml:space="preserve">1026113365</t>
  </si>
  <si>
    <t xml:space="preserve">214388588</t>
  </si>
  <si>
    <t xml:space="preserve">2025-06-11</t>
  </si>
  <si>
    <t xml:space="preserve">F4F034</t>
  </si>
  <si>
    <t xml:space="preserve">Vis endommagée sur fourreau</t>
  </si>
  <si>
    <t xml:space="preserve">1025196094</t>
  </si>
  <si>
    <t xml:space="preserve">213884687</t>
  </si>
  <si>
    <t xml:space="preserve">2025-04-01</t>
  </si>
  <si>
    <t xml:space="preserve">cable trop court</t>
  </si>
  <si>
    <t xml:space="preserve">1024388395</t>
  </si>
  <si>
    <t xml:space="preserve">215191868</t>
  </si>
  <si>
    <t xml:space="preserve">2025-09-26</t>
  </si>
  <si>
    <t xml:space="preserve">TEMP.SELECTOR avec deux CT176</t>
  </si>
  <si>
    <t xml:space="preserve">[TS_000000001020577721]</t>
  </si>
  <si>
    <t xml:space="preserve">1026106139</t>
  </si>
  <si>
    <t xml:space="preserve">213973964</t>
  </si>
  <si>
    <t xml:space="preserve">2025-04-11</t>
  </si>
  <si>
    <t xml:space="preserve">F4F74A</t>
  </si>
  <si>
    <t xml:space="preserve">1024517181</t>
  </si>
  <si>
    <t xml:space="preserve">213666329</t>
  </si>
  <si>
    <t xml:space="preserve">2025-03-04</t>
  </si>
  <si>
    <t xml:space="preserve">câble endommagé</t>
  </si>
  <si>
    <t xml:space="preserve">1023833666</t>
  </si>
  <si>
    <t xml:space="preserve">213559949</t>
  </si>
  <si>
    <t xml:space="preserve">2025-02-19</t>
  </si>
  <si>
    <t xml:space="preserve">Cable manquant</t>
  </si>
  <si>
    <t xml:space="preserve">214352478</t>
  </si>
  <si>
    <t xml:space="preserve">2025-06-05</t>
  </si>
  <si>
    <t xml:space="preserve">F4F038</t>
  </si>
  <si>
    <t xml:space="preserve">Vis du fourreau 5WW2 endommagées</t>
  </si>
  <si>
    <t xml:space="preserve">1025084201</t>
  </si>
  <si>
    <t xml:space="preserve">215620253</t>
  </si>
  <si>
    <t xml:space="preserve">2025-11-10</t>
  </si>
  <si>
    <t xml:space="preserve">NC en attente réponse BE (DQN)</t>
  </si>
  <si>
    <t xml:space="preserve">1026370581</t>
  </si>
  <si>
    <t xml:space="preserve">213655218</t>
  </si>
  <si>
    <t xml:space="preserve">2025-03-03</t>
  </si>
  <si>
    <t xml:space="preserve">V42110</t>
  </si>
  <si>
    <t xml:space="preserve">Câble trop court et Abimé</t>
  </si>
  <si>
    <t xml:space="preserve">213628687</t>
  </si>
  <si>
    <t xml:space="preserve">2025-02-27</t>
  </si>
  <si>
    <t xml:space="preserve">V42120</t>
  </si>
  <si>
    <t xml:space="preserve">Cable 2792-0994 abîmé</t>
  </si>
  <si>
    <t xml:space="preserve">215500224</t>
  </si>
  <si>
    <t xml:space="preserve">2025-10-28</t>
  </si>
  <si>
    <t xml:space="preserve">REGROUP-DQN</t>
  </si>
  <si>
    <t xml:space="preserve">TORQUAGE BARRETTE 315VT</t>
  </si>
  <si>
    <t xml:space="preserve">[TS_000000001020387999]</t>
  </si>
  <si>
    <t xml:space="preserve">1026099937</t>
  </si>
  <si>
    <t xml:space="preserve">214750407</t>
  </si>
  <si>
    <t xml:space="preserve">2025-07-23</t>
  </si>
  <si>
    <t xml:space="preserve">Mauvaise servitude de contact</t>
  </si>
  <si>
    <t xml:space="preserve">1025774755</t>
  </si>
  <si>
    <t xml:space="preserve">213666138</t>
  </si>
  <si>
    <t xml:space="preserve">V4V211</t>
  </si>
  <si>
    <t xml:space="preserve">1023936277</t>
  </si>
  <si>
    <t xml:space="preserve">214068791</t>
  </si>
  <si>
    <t xml:space="preserve">2025-04-25</t>
  </si>
  <si>
    <t xml:space="preserve">V4VMIA</t>
  </si>
  <si>
    <t xml:space="preserve">câble bifilaire 2792-0144 court</t>
  </si>
  <si>
    <t xml:space="preserve">1024733455</t>
  </si>
  <si>
    <t xml:space="preserve">215499712</t>
  </si>
  <si>
    <t xml:space="preserve">Datum Marker clamp non conforme à la DS</t>
  </si>
  <si>
    <t xml:space="preserve">1026198626</t>
  </si>
  <si>
    <t xml:space="preserve">215883039</t>
  </si>
  <si>
    <t xml:space="preserve">2025-12-05</t>
  </si>
  <si>
    <t xml:space="preserve">V42140</t>
  </si>
  <si>
    <t xml:space="preserve">Demande DQN Ecart gaine de réserve</t>
  </si>
  <si>
    <t xml:space="preserve">1027427739</t>
  </si>
  <si>
    <t xml:space="preserve">214128334</t>
  </si>
  <si>
    <t xml:space="preserve">2025-05-06</t>
  </si>
  <si>
    <t xml:space="preserve">Mesures des points de masse sur platines</t>
  </si>
  <si>
    <t xml:space="preserve">1024388641</t>
  </si>
  <si>
    <t xml:space="preserve">215631480</t>
  </si>
  <si>
    <t xml:space="preserve">2025-11-11</t>
  </si>
  <si>
    <t xml:space="preserve">1026288726</t>
  </si>
  <si>
    <t xml:space="preserve">213510190</t>
  </si>
  <si>
    <t xml:space="preserve">Support Route 1M et 2M non adaptés</t>
  </si>
  <si>
    <t xml:space="preserve">1023996316</t>
  </si>
  <si>
    <t xml:space="preserve">213564809</t>
  </si>
  <si>
    <t xml:space="preserve">Câble DR24 2797-1114 trop court</t>
  </si>
  <si>
    <t xml:space="preserve">215727969</t>
  </si>
  <si>
    <t xml:space="preserve">2025-11-20</t>
  </si>
  <si>
    <t xml:space="preserve">Demande de DQN Plaquette identification</t>
  </si>
  <si>
    <t xml:space="preserve">[TS_000000001021059323]</t>
  </si>
  <si>
    <t xml:space="preserve">1027175164</t>
  </si>
  <si>
    <t xml:space="preserve">215564181</t>
  </si>
  <si>
    <t xml:space="preserve">2025-11-04</t>
  </si>
  <si>
    <t xml:space="preserve">Fixation endommagée</t>
  </si>
  <si>
    <t xml:space="preserve">1026985103</t>
  </si>
  <si>
    <t xml:space="preserve">215208136</t>
  </si>
  <si>
    <t xml:space="preserve">2025-09-29</t>
  </si>
  <si>
    <t xml:space="preserve">Retouche Test 412VU MSN 02136.</t>
  </si>
  <si>
    <t xml:space="preserve">1026308100</t>
  </si>
  <si>
    <t xml:space="preserve">H6. Rework orders with no planned time (September 2026)</t>
  </si>
  <si>
    <t xml:space="preserve">S03 rework orders whose operations carry no standard value. If planned time is the truth, these orders cost 0, which cannot be right.</t>
  </si>
  <si>
    <t xml:space="preserve">Questions: why do these orders have no standard value (operations created without time, closed without confirmation, time booked elsewhere)? Until known, the CNQ uses the model's estimate for NCs whose order has no planned time. 63 of the 249 shop-floor rework orders (25%) are in this case.</t>
  </si>
  <si>
    <t xml:space="preserve">Family</t>
  </si>
  <si>
    <t xml:space="preserve">Linked NC</t>
  </si>
  <si>
    <t xml:space="preserve">NC: what was found</t>
  </si>
  <si>
    <t xml:space="preserve">Operations</t>
  </si>
  <si>
    <t xml:space="preserve">Why no time? (your finding)</t>
  </si>
  <si>
    <t xml:space="preserve">1030448899</t>
  </si>
  <si>
    <t xml:space="preserve">FTO2 shop floor</t>
  </si>
  <si>
    <t xml:space="preserve">217899785</t>
  </si>
  <si>
    <t xml:space="preserve">CABLES MANQUANTS</t>
  </si>
  <si>
    <t xml:space="preserve">1030475889</t>
  </si>
  <si>
    <t xml:space="preserve">217913295</t>
  </si>
  <si>
    <t xml:space="preserve">INVERSEUR H.S.</t>
  </si>
  <si>
    <t xml:space="preserve">1030621326</t>
  </si>
  <si>
    <t xml:space="preserve">218016079</t>
  </si>
  <si>
    <t xml:space="preserve">CABLES A CHANGER</t>
  </si>
  <si>
    <t xml:space="preserve">1030623390</t>
  </si>
  <si>
    <t xml:space="preserve">218020323</t>
  </si>
  <si>
    <t xml:space="preserve">Câbles trop courts</t>
  </si>
  <si>
    <t xml:space="preserve">1030721063</t>
  </si>
  <si>
    <t xml:space="preserve">2167</t>
  </si>
  <si>
    <t xml:space="preserve">218067875</t>
  </si>
  <si>
    <t xml:space="preserve">RETOUCHE CONTROLE FINAL</t>
  </si>
  <si>
    <t xml:space="preserve">1030721069</t>
  </si>
  <si>
    <t xml:space="preserve">218067687</t>
  </si>
  <si>
    <t xml:space="preserve">1030721510</t>
  </si>
  <si>
    <t xml:space="preserve">218070160</t>
  </si>
  <si>
    <t xml:space="preserve">INTERDIT CASSE</t>
  </si>
  <si>
    <t xml:space="preserve">1030736570</t>
  </si>
  <si>
    <t xml:space="preserve">218078858</t>
  </si>
  <si>
    <t xml:space="preserve">Câble KL coupé trop court</t>
  </si>
  <si>
    <t xml:space="preserve">1030740403</t>
  </si>
  <si>
    <t xml:space="preserve">1030763128</t>
  </si>
  <si>
    <t xml:space="preserve">218094742</t>
  </si>
  <si>
    <t xml:space="preserve">Mauuvaise MOE serre module NSA937901S</t>
  </si>
  <si>
    <t xml:space="preserve">INSPECTION QUALITE || ATTESTATION DE CONFORMITE ATTESTATION DE CONFORMITE Inspection avant la clôture de l'OF</t>
  </si>
  <si>
    <t xml:space="preserve">1030781941</t>
  </si>
  <si>
    <t xml:space="preserve">218113625</t>
  </si>
  <si>
    <t xml:space="preserve">1030818117</t>
  </si>
  <si>
    <t xml:space="preserve">NC Retour client</t>
  </si>
  <si>
    <t xml:space="preserve">Attestation de conformité || Contrôle du KIT(s) avant le départ pour Contrôle du KIT(s) avant le départ pour Montoir-de-Bretagne Suite à la NC 218121468, veuillez contrôler la conformité du kit avant le départ pour Montoir-de-Bretagne suivant la list</t>
  </si>
  <si>
    <t xml:space="preserve">1030818179</t>
  </si>
  <si>
    <t xml:space="preserve">Attestation de conformité || Contrôle du KIT(s) avant le départ pour Contrôle du KIT(s) avant le départ pour Montoir-de-Bretagne Suite à la NC 218121463, veuillez contrôler la conformité du kit avant le départ pour Montoir-de-Bretagne suivant la list</t>
  </si>
  <si>
    <t xml:space="preserve">1030938126</t>
  </si>
  <si>
    <t xml:space="preserve">218213110</t>
  </si>
  <si>
    <t xml:space="preserve">RETOUCHE TEST PRISE DETERIORE</t>
  </si>
  <si>
    <t xml:space="preserve">Attestation de conformité Attestation de conformité Inspection avant la clôture de l'OF || Inspection Qualité || Remise en conformités de la prise 20TC1 Remise en conformités de la prise 20TC1 A Veuillez Appliquer la NSI joint à la S03.</t>
  </si>
  <si>
    <t xml:space="preserve">1030985640</t>
  </si>
  <si>
    <t xml:space="preserve">218242503</t>
  </si>
  <si>
    <t xml:space="preserve">RETOUCHE TEST MSN 866 TWINAX A REFAIRE</t>
  </si>
  <si>
    <t xml:space="preserve">Attestation de conformité || Inspéction Qualité Inspéction Qualité NC CABLE - Inspection Qualité SI NC TA --&gt; 4QEH1I07 NC TEST - Inspection Qualité --&gt; 4QEH5I07 NC QUALITÉ - Inspection Qualité --&gt; 4QEH8I07 NC CABLE - Inspection Qualité SI NC TB --&gt; 4</t>
  </si>
  <si>
    <t xml:space="preserve">1030986429</t>
  </si>
  <si>
    <t xml:space="preserve">218246376</t>
  </si>
  <si>
    <t xml:space="preserve">Câbles non lasérisés</t>
  </si>
  <si>
    <t xml:space="preserve">A350-REC-S/T-Attestation Conformité / Basic Electrical harness manufacturing</t>
  </si>
  <si>
    <t xml:space="preserve">Attestation de conformité || PRELEVEMENT MSN 878 VERS MSN 876 PRELEVEMENT MSN 878 VERS MSN 876 S03 suite à la NC 218246376 : Prélèvement des câbles du MSN 878 vers le MSN 876 sous ISOCONF identique (Accord BP)</t>
  </si>
  <si>
    <t xml:space="preserve">1030989646</t>
  </si>
  <si>
    <t xml:space="preserve">Contrôle du KIT(s) avant le départ pour Contrôle du KIT(s) avant le départ pour Montoir-de-Bretagne Suite à la NC 218221555, veuillez contrôler la conformité du kit avant le départ pour Montoir-de-Bretagne suivant la liste ci-dessous : Désignation / </t>
  </si>
  <si>
    <t xml:space="preserve">1031170705</t>
  </si>
  <si>
    <t xml:space="preserve">Attestation de conformité || Contrôle du KIT(s) avant le départ pour Contrôle du KIT(s) avant le départ pour Montoir-de-Bretagne Suite à la NC 218348034, veuillez contrôler la conformité du kit avant le départ pour Montoir-de-Bretagne suivant la list</t>
  </si>
  <si>
    <t xml:space="preserve">1031171305</t>
  </si>
  <si>
    <t xml:space="preserve">Contrôle du KIT(s) avant le départ pour Contrôle du KIT(s) avant le départ pour Montoir-de-Bretagne Suite à la NC 218348243, veuillez contrôler la conformité du kit avant le départ pour Montoir-de-Bretagne suivant la liste ci-dessous : Désignation / </t>
  </si>
  <si>
    <t xml:space="preserve">1031220048</t>
  </si>
  <si>
    <t xml:space="preserve">Attestation de conformité || Contrôle du KIT(s) avant le départ pour Contrôle du KIT(s) avant le départ pour Montoir-de-Bretagne Suite à la NC 218390076, veuillez contrôler la conformité du kit avant le départ pour Montoir-de-Bretagne suivant la list</t>
  </si>
  <si>
    <t xml:space="preserve">1031227280</t>
  </si>
  <si>
    <t xml:space="preserve">Contrôle du KIT(s) avant le départ pour Contrôle du KIT(s) avant le départ pour Montoir-de-Bretagne Suite à la NC 218390072, veuillez contrôler la conformité du kit avant le départ pour Montoir-de-Bretagne suivant la liste ci-dessous : Désignation / </t>
  </si>
  <si>
    <t xml:space="preserve">1031227496</t>
  </si>
  <si>
    <t xml:space="preserve">Attestation de conformité || Contrôle du KIT(s) avant le départ pour Contrôle du KIT(s) avant le départ pour Montoir-de-Bretagne Suite à la NC 218392061, veuillez contrôler la conformité du kit avant le départ pour Montoir-de-Bretagne suivant la list</t>
  </si>
  <si>
    <t xml:space="preserve">1031227573</t>
  </si>
  <si>
    <t xml:space="preserve">Contrôle du KIT(s) avant le départ pour Contrôle du KIT(s) avant le départ pour Montoir-de-Bretagne Suite à la NC 218390345, veuillez contrôler la conformité du kit avant le départ pour Montoir-de-Bretagne suivant la liste ci-dessous : Désignation / </t>
  </si>
  <si>
    <t xml:space="preserve">ATTESTATION DE CONFORMITE || CONTROLE CONTROLE Cet OT est en // de l'OF 1028559128 (FB37531) || Veuillez installer les documents A3 plas Veuillez installer les documents A3 plastifié sur les portes avants, près du trailing cone et près dy FTES avec d</t>
  </si>
  <si>
    <t xml:space="preserve">Attestation de conformité || Inspection Qualité || ONTROLER SERTISSAGE CDVE tête A || Remise en conformités du câble Remise en conformités du câble Cheminer le câble vers la tête B. S'appuyer des informations décrites suivant la définition sur ElecAB</t>
  </si>
  <si>
    <t xml:space="preserve">Attestation de conformité || Inspection Qualité || NC CABLE - Remise en conformités du câbl NC CABLE - Remise en conformités du câble Effectuer le dénudage / sertissage du câble en tête A suivant les informations de la définition sur ElecABC/NIICE. E</t>
  </si>
  <si>
    <t xml:space="preserve">Attestation de conformité || Intallation support supplémentaires : Intallation support supplémentaires : Localisation: Cadre 72 AFT-US - Cadre-77-AFT-US. Latch Top AFT, Button AFT, TOP FWD et Button FWD. Montez le NSA935405-01 sur la poutre de verrou</t>
  </si>
  <si>
    <t xml:space="preserve">Attestation de conformité || Inspection Qualité || Remise en conformités du câble Remise en conformités du câble Effectuer le sertissage du câble en tête A et tête B suivant les informations de la définition sur ElecABC/NIICE. Effectuer le branchemen</t>
  </si>
  <si>
    <t xml:space="preserve">ATTESTATION DE CONFORMITE || CONTROLER || PREPARATION / ANALYSE DOSSIER || Repose DD253 S/N 25109 et 2511 4ZU Repose DD253 S/N 25109 et 2511 4ZU Veuillez installer les équipements DD253 FIN : 253ZSC2 SN : 25109 ainsi que, FIN : 253ZSC1 SN : 25110 Veu</t>
  </si>
  <si>
    <t xml:space="preserve">Attestation de conformité || Contrôle || Remise en conformité 743ZVC102-A Remise en conformité 743ZVC102-A Sur la prise 743ZVC102-A Inversion de câblage entre les pin 71,72,73 et 74. Veuillez vous mettre en conformité par rapport au WD V895-96411-081</t>
  </si>
  <si>
    <t xml:space="preserve">Attestation de conformité || Inspection Qualité || CONTROLER SERTISSAGE CDVE || Remise en conformités du câble Remise en conformités du câble Effectuer le sertissage du câble en tête A et tête B suivant les informations de la définition sur ElecABC/N</t>
  </si>
  <si>
    <t xml:space="preserve">Inspection Qualité || Attestation de conformité || Remise en conformités du câble Remise en conformités du câble Effectuer le sertissage du câble en tête A suivant les informations de la définition sur ElecABC/NIICE. Effectuer le branchement du câble</t>
  </si>
  <si>
    <t xml:space="preserve">Attestation de conformité || Inspection Qualité || Remise en conformités du câble Remise en conformités du câble Effectuer le sertissage du câble en tête A suivant les informations de la définition sur ElecABC/NIICE. Effectuer le branchement du câble</t>
  </si>
  <si>
    <t xml:space="preserve">ATTESTATION DE CONFORMITE || CONTROLER || Analyse dossier : Analyse dossier : Localisation : D01, rack 202ZU1, appliquer le bleu de métallisation sur RAU 202ZXM031 || Appliquer le bleu de métallisation suiva Appliquer le bleu de métallisation suivant</t>
  </si>
  <si>
    <t xml:space="preserve">Attestation de conformité || Contrôle || Remise en conformité 64ZVC211-A et 270ZS Remise en conformité 64ZVC211-A et 270ZSC (DD027) Sur la prise 64ZVC211-A vérifier que le cable 8924-1669 est bien cablé sur la pin 3 et que le que le cable 8924-1670 e</t>
  </si>
  <si>
    <t xml:space="preserve">Remise en conformités du câble Remise en conformités du câble Effectuer le sertissage du câble en tête A suivant les informations de la définition sur ElecABC/NIICE. Effectuer le branchement du câble en tête A suivant les informations de la définitio</t>
  </si>
  <si>
    <t xml:space="preserve">Attestation de conformité Attestation de conformité Inspection avant la clôture de l'OF Inspection avant la clôture de l'OF || Inspection Qualité || Remise en conformités de la prise 1608VC Remise en conformités de la prise 1608VC050 Veuillez Appliqu</t>
  </si>
  <si>
    <t xml:space="preserve">Contrôle || Attestation de conformité || Remise en conformité RAU. Remise en conformité RAU. Remise en conformité de tout les RAU du RENO 7877, mettre la tete de la vis coté carré et pas coté rond, voir image de l'AIPI 25-11-003 fournis dans l'OT. Lo</t>
  </si>
  <si>
    <t xml:space="preserve">Dénuder/Sertir câble CDVE || Remise en conformités du câble Remise en conformités du câble Effectuer le sertissage du câble en tête A et tête B suivant les informations de la définition sur ElecABC/NIICE. Effectuer le branchement du câble en tête A s</t>
  </si>
  <si>
    <t xml:space="preserve">Remise en conformité 64ZVC104 Remise en conformité 64ZVC104 C (RR291) Sur le FIN 42ZXA201 (Alim RR291) vérifier que le cable 8905-0705 est bien cablé de la pin 9 à la pin 12 de la prise 234ZVC8 et que le que le cable 8905-0706 est bien cablé de la pi</t>
  </si>
  <si>
    <t xml:space="preserve">Inspection Qualité || Attestation de conformité || CONTROLER SERTISSAGE CDVE || Remise en conformités du câble Remise en conformités du câble Effectuer le sertissage du câble en tête A suivant les informations de la définition sur ElecABC/NIICE. Effe</t>
  </si>
  <si>
    <t xml:space="preserve">Attestation de conformité || Contrôle || Dépose NSA940692-1 non conforme Dépose NSA940692-1 non conforme Merci de déposer le harnais UW520 NSA940692-1, 202ZU2 || Repose NSA940692-1 conforme Repose NSA940692-1 conforme Merci de procéder à la repose du</t>
  </si>
  <si>
    <t xml:space="preserve">1029961695</t>
  </si>
  <si>
    <t xml:space="preserve">IEVB (MSN 700/701)</t>
  </si>
  <si>
    <t xml:space="preserve">CONTROLER || ATTESTATION DE CONFORMITE</t>
  </si>
  <si>
    <t xml:space="preserve">1030891489</t>
  </si>
  <si>
    <t xml:space="preserve">PHASE POUR CLOTURE || CONTROLE QUALITE CONTROLE QUALITE **Inspection Visuelle Générale** -&gt; Vérifier qu'il n'y a aucun écart évident, manquant ou non conformité. -&gt; Vérifier que les équipement de sécurité sont en place (Ex: bouteile d'extinction). -&gt;</t>
  </si>
  <si>
    <t xml:space="preserve">1029414050</t>
  </si>
  <si>
    <t xml:space="preserve">REC (FAL)</t>
  </si>
  <si>
    <t xml:space="preserve">818</t>
  </si>
  <si>
    <t xml:space="preserve">ATTESTATION OF CONFORMITY / ATTESTATION OF CONFORMITY AUTOCLOSURE / Essais Circuit Electrique</t>
  </si>
  <si>
    <t xml:space="preserve">Attestation de conformité - Auto closure || Attestation de conformité Attestation de conformité Controle des points suivants : Toutes les opérations ont été terminées et certifiées Aucun écart évident, manquant ou non conforme (pas de FOD) Tous les M</t>
  </si>
  <si>
    <t xml:space="preserve">1029415879</t>
  </si>
  <si>
    <t xml:space="preserve">2126</t>
  </si>
  <si>
    <t xml:space="preserve">ATTESTATION OF CONFORMITY / ATTESTATION OF CONFORMITY AUTOCLOSURE / Essais Circuit Electrique / Mano</t>
  </si>
  <si>
    <t xml:space="preserve">Attestation de conformité - Auto closure || Test de continuité Test de continuité ----------------------------------------------------------------Note: Before starting on AC, ensure that you're wearing all appropriate PPEs, and that you have all tool</t>
  </si>
  <si>
    <t xml:space="preserve">1029840553</t>
  </si>
  <si>
    <t xml:space="preserve">A350-REC-S/T- Install Harnais Electrique / A350-REC-S/T-Attestation Conformité / A350-REC-S/T-Techno</t>
  </si>
  <si>
    <t xml:space="preserve">Inspection avant la clôture de l'OF || Attestation de conformité Attestation de conformité Réaliser la Work Order Final Inspection : **Inspection Visuelle Générale** -&gt; Vérifier qu'il n'y a aucun écart évident, manquant ou non conformité. -&gt; Vérifier</t>
  </si>
  <si>
    <t xml:space="preserve">1029885015</t>
  </si>
  <si>
    <t xml:space="preserve">Attestation de conformité - Auto closure || Attestation de conformité Attestation de conformité Final inspection to be done by an independent L2 or L3 from the intervener. Visually check that: - visual inspection of rework performed. - assembly opera</t>
  </si>
  <si>
    <t xml:space="preserve">1029983055</t>
  </si>
  <si>
    <t xml:space="preserve">828</t>
  </si>
  <si>
    <t xml:space="preserve">Inspection avant la clôture de l'OF || Attestation de conformité Attestation de conformité Controle des points suivants : Toutes les opérations ont été terminées et certifiées Aucun écart évident, manquant ou non conforme (pas de FOD) Tous les MRG/ME</t>
  </si>
  <si>
    <t xml:space="preserve">1030020582</t>
  </si>
  <si>
    <t xml:space="preserve">846</t>
  </si>
  <si>
    <t xml:space="preserve">Inspection avant la clôture de l'OF || Test EMI || Test de continuité || Attestation de conformité Attestation de conformité Controle des points suivants : Toutes les opérations ont été terminées et certifiées Aucun écart évident, manquant ou non con</t>
  </si>
  <si>
    <t xml:space="preserve">1030057502</t>
  </si>
  <si>
    <t xml:space="preserve">829</t>
  </si>
  <si>
    <t xml:space="preserve">1030186836</t>
  </si>
  <si>
    <t xml:space="preserve">A350-REC-S/T- Install Harnais Electrique / A350-REC-S/T-Attestation Conformité / S/C_ATTESTATION OF </t>
  </si>
  <si>
    <t xml:space="preserve">Inspection avant la clôture de l'OF || Effectuer Test de continuité || Attestation de conformité Attestation de conformité Controle des points suivants : Toutes les opérations ont été terminées et certifiées Aucun écart évident, manquant ou non confo</t>
  </si>
  <si>
    <t xml:space="preserve">1030414122</t>
  </si>
  <si>
    <t xml:space="preserve">821</t>
  </si>
  <si>
    <t xml:space="preserve">Inspection avant la clôture de l'OF</t>
  </si>
  <si>
    <t xml:space="preserve">1030531385</t>
  </si>
  <si>
    <t xml:space="preserve">842</t>
  </si>
  <si>
    <t xml:space="preserve">ATTESTATION OF CONFORMITY / ATTESTATION OF CONFORMITY AUTOCLOSURE / Essais Circuit Electrique / Inst</t>
  </si>
  <si>
    <t xml:space="preserve">1030653802</t>
  </si>
  <si>
    <t xml:space="preserve">A350-REC-S/T-Attestation Conformité / S/C_ATTESTATION OF CONFORMITY / S/C_ELECTRICAL TEST</t>
  </si>
  <si>
    <t xml:space="preserve">1030686568</t>
  </si>
  <si>
    <t xml:space="preserve">A350-REC-S/T-Attestation Conformité / A350-REC-S/T-Rattrapage Elec sur harnais</t>
  </si>
  <si>
    <t xml:space="preserve">Inspection avant la clôture de l'OF || Rattrapage Electrique Basique 929/925</t>
  </si>
  <si>
    <t xml:space="preserve">1030702520</t>
  </si>
  <si>
    <t xml:space="preserve">A350-REC-S/T- Install Harnais Electrique / A350-REC-S/T-Attestation Conformité / A350-REC-S/T-Rattra</t>
  </si>
  <si>
    <t xml:space="preserve">Attestation de conformité - Auto closure || Effectuer le Test EMI || Attestation de conformité || Reconnecter et installer FIN || Déconnecter et désinstaller FIN || Réaliser la repose (morpho) || Ouvrir Gaine Méca/Elec/EMI || Fermer Gaine Méca/Elec/E</t>
  </si>
  <si>
    <t xml:space="preserve">1030742346</t>
  </si>
  <si>
    <t xml:space="preserve">836</t>
  </si>
  <si>
    <t xml:space="preserve">ATTESTATION OF CONFORMITY / ATTESTATION OF CONFORMITY AUTOCLOSURE / Inspecter installation électri</t>
  </si>
  <si>
    <t xml:space="preserve">Inspection avant la clôture de l'OF || Stop point : Attendre Inter. nettoyage || Attestation de conformité Attestation de conformité Controle des points suivants : Toutes les opérations ont été terminées et certifiées Aucun écart évident, manquant ou</t>
  </si>
  <si>
    <t xml:space="preserve">H7. Is the disruption export complete? (2,500 rows)</t>
  </si>
  <si>
    <t xml:space="preserve">The file has exactly 2,500 rows, sorted newest first: the pattern of an export cut at a row limit.</t>
  </si>
  <si>
    <t xml:space="preserve">Rows in the file</t>
  </si>
  <si>
    <t xml:space="preserve">First disruption</t>
  </si>
  <si>
    <t xml:space="preserve">2026-01-05 08:57:14</t>
  </si>
  <si>
    <t xml:space="preserve">Last disruption</t>
  </si>
  <si>
    <t xml:space="preserve">2026-09-30 23:31:51</t>
  </si>
  <si>
    <t xml:space="preserve">File order</t>
  </si>
  <si>
    <t xml:space="preserve">newest first (30 Sep 23:31 on the first row)</t>
  </si>
  <si>
    <t xml:space="preserve">NCs created 29 Dec 2025 - 2 Jan 2026 (plant closed?)</t>
  </si>
  <si>
    <t xml:space="preserve">0</t>
  </si>
  <si>
    <t xml:space="preserve">First NC of 2026</t>
  </si>
  <si>
    <t xml:space="preserve">5 Jan 2026 (same day as the first disruption)</t>
  </si>
  <si>
    <t xml:space="preserve">Usual time of the first disruption of a day</t>
  </si>
  <si>
    <t xml:space="preserve">about 07:43</t>
  </si>
  <si>
    <t xml:space="preserve">Time of the first disruption on 5 Jan</t>
  </si>
  <si>
    <t xml:space="preserve">08:57 (9 disruptions that day; a usual Monday has about 14)</t>
  </si>
  <si>
    <t xml:space="preserve">How to check (any one is enough):</t>
  </si>
  <si>
    <t xml:space="preserve">1. Re-export the disruptions with only 1 Jan - 31 Mar 2026 selected. If 5 January gets more than 9 rows, or rows before 08:57, the first export was cut.</t>
  </si>
  <si>
    <t xml:space="preserve">2. Look in the export tool (Skywise / Contour) for a row limit or a 'first N rows' setting.</t>
  </si>
  <si>
    <t xml:space="preserve">3. Count the disruptions in MES for 5 January 2026 and compare with 9.</t>
  </si>
  <si>
    <t xml:space="preserve">Result (your finding)</t>
  </si>
  <si>
    <t xml:space="preserve">Export complete? (Y/N)</t>
  </si>
  <si>
    <t xml:space="preserve">Re-export Jan-Mar: rows on 5 Jan</t>
  </si>
  <si>
    <t xml:space="preserve">Row limit in the export tool</t>
  </si>
  <si>
    <t xml:space="preserve">MES count for 5 Jan</t>
  </si>
  <si>
    <t xml:space="preserve">Disruptions per day, first two weeks of the file</t>
  </si>
  <si>
    <t xml:space="preserve">2026-01-05</t>
  </si>
  <si>
    <t xml:space="preserve">2026-01-06</t>
  </si>
  <si>
    <t xml:space="preserve">2026-01-09</t>
  </si>
  <si>
    <t xml:space="preserve">2026-01-12</t>
  </si>
  <si>
    <t xml:space="preserve">2026-01-14</t>
  </si>
  <si>
    <t xml:space="preserve">2026-01-15</t>
  </si>
  <si>
    <t xml:space="preserve">2026-01-16</t>
  </si>
  <si>
    <t xml:space="preserve">Time columns: time_lost is typed by the operator (minutes). time_to_get_ack / time_to_get_fix do not match the timestamps (1-2 h time-zone shift; time_to_get_fix is 0 for 64%).</t>
  </si>
  <si>
    <t xml:space="preserve">Disruption block (option B): quality aléas that did not lead to an NC</t>
  </si>
  <si>
    <t xml:space="preserve">MES disruptions of type 'QLS - Probleme qualite', Jan-Sep 2026, with no NC on the same work order within -2 h..+72 h. Aléas that led to an NC are inside the NC cost (alert step), not here.</t>
  </si>
  <si>
    <t xml:space="preserve">Pre-filled Y for every row. Put N for an aléa that should not count (for example, its NC exists but is written by ERMA, which is out of scope). The totals below and in Figures follow.</t>
  </si>
  <si>
    <t xml:space="preserve">Month (yyyymm)</t>
  </si>
  <si>
    <t xml:space="preserve">Work order</t>
  </si>
  <si>
    <t xml:space="preserve">Answer</t>
  </si>
  <si>
    <t xml:space="preserve">Possible ERMA NC (MIP / 1101VB)</t>
  </si>
  <si>
    <t xml:space="preserve">Keep in block? (Y/N)</t>
  </si>
  <si>
    <t xml:space="preserve">OZ1780938</t>
  </si>
  <si>
    <t xml:space="preserve">2026-01-05 08:57</t>
  </si>
  <si>
    <t xml:space="preserve">A30</t>
  </si>
  <si>
    <t xml:space="preserve">INTEG2</t>
  </si>
  <si>
    <t xml:space="preserve">1027044105</t>
  </si>
  <si>
    <t xml:space="preserve">Impossibilité de monter la Pipe V2511259700000 suite a un montage non conforme fournisseur.</t>
  </si>
  <si>
    <t xml:space="preserve">Y</t>
  </si>
  <si>
    <t xml:space="preserve">OZ1783404</t>
  </si>
  <si>
    <t xml:space="preserve">2026-01-06 14:30</t>
  </si>
  <si>
    <t xml:space="preserve">MDCD</t>
  </si>
  <si>
    <t xml:space="preserve">HARNAIS_MDCD</t>
  </si>
  <si>
    <t xml:space="preserve">1027383554</t>
  </si>
  <si>
    <t xml:space="preserve">2 formations réalisé , mesure lineique , recherche de gamme</t>
  </si>
  <si>
    <t xml:space="preserve">OZ1785059</t>
  </si>
  <si>
    <t xml:space="preserve">2026-01-07 12:23</t>
  </si>
  <si>
    <t xml:space="preserve">740VU_743VU</t>
  </si>
  <si>
    <t xml:space="preserve">INTE 740VU</t>
  </si>
  <si>
    <t xml:space="preserve">1027341953</t>
  </si>
  <si>
    <t xml:space="preserve">Changement de deux câbles sur la platine relais temps perdu 2h</t>
  </si>
  <si>
    <t xml:space="preserve">OZ1785431</t>
  </si>
  <si>
    <t xml:space="preserve">2026-01-07 14:47</t>
  </si>
  <si>
    <t xml:space="preserve">Recherche de gamme</t>
  </si>
  <si>
    <t xml:space="preserve">OZ1788106</t>
  </si>
  <si>
    <t xml:space="preserve">2026-01-08 14:47</t>
  </si>
  <si>
    <t xml:space="preserve">recherche de gamme et manque de temps</t>
  </si>
  <si>
    <t xml:space="preserve">OZ1790476</t>
  </si>
  <si>
    <t xml:space="preserve">2026-01-09 13:59</t>
  </si>
  <si>
    <t xml:space="preserve">1027175460</t>
  </si>
  <si>
    <t xml:space="preserve">Manque câble : AD22 : 3422-0191 ET AD22 : 3422-0190 (INFO longueur etc : VOIR IMAGES)</t>
  </si>
  <si>
    <t xml:space="preserve">OZ1793801</t>
  </si>
  <si>
    <t xml:space="preserve">2026-01-12 21:18</t>
  </si>
  <si>
    <t xml:space="preserve">CHEMINE SHUNT 740VU</t>
  </si>
  <si>
    <t xml:space="preserve">1027542382</t>
  </si>
  <si>
    <t xml:space="preserve">Manchon imprimé MSN : 2145 OF : 1027542382 Numéro : 2458-0158 Qté : 1 Type : Manchon numéro de câble</t>
  </si>
  <si>
    <t xml:space="preserve">OZ1799496</t>
  </si>
  <si>
    <t xml:space="preserve">2026-01-14 23:18</t>
  </si>
  <si>
    <t xml:space="preserve">INTEG1</t>
  </si>
  <si>
    <t xml:space="preserve">1027315420</t>
  </si>
  <si>
    <t xml:space="preserve">Bonjour, j'ai eu un problème sur mon OP, voir deux... 1) Plusieurs mauvais sertissages ( que j'ai repris ) 2) Recherche dans la S.O.I pour trouver la bonne fixation à appliquer sur les VN &amp; (torquage)... non référencé dans la S.O.I</t>
  </si>
  <si>
    <t xml:space="preserve">OZ1806056</t>
  </si>
  <si>
    <t xml:space="preserve">2026-01-19 17:03</t>
  </si>
  <si>
    <t xml:space="preserve">1027320098</t>
  </si>
  <si>
    <t xml:space="preserve">Colonnette endommagé sur la prise 3CB-A MSN817 poste Inté1</t>
  </si>
  <si>
    <t xml:space="preserve">OZ1806552</t>
  </si>
  <si>
    <t xml:space="preserve">2026-01-19 20:40</t>
  </si>
  <si>
    <t xml:space="preserve">SSENS4</t>
  </si>
  <si>
    <t xml:space="preserve">1027717179</t>
  </si>
  <si>
    <t xml:space="preserve">Bonsoir MSN : 846 RT 1 R OF : 1027717179 Cable abimée AD 24 longueur 232 CM MERCI .</t>
  </si>
  <si>
    <t xml:space="preserve">OZ1819701</t>
  </si>
  <si>
    <t xml:space="preserve">2026-01-26 20:55</t>
  </si>
  <si>
    <t xml:space="preserve">1027399407</t>
  </si>
  <si>
    <t xml:space="preserve">Bonsoir, Merci de bien vouloir créer une NC svp suite à une colonnette qui a cédé lors du torquage de la prise 3CB-A du MIP 819, En vous remerciant,</t>
  </si>
  <si>
    <t xml:space="preserve">OZ1822351</t>
  </si>
  <si>
    <t xml:space="preserve">2026-01-27 20:56</t>
  </si>
  <si>
    <t xml:space="preserve">MECANIQUE</t>
  </si>
  <si>
    <t xml:space="preserve">1027711744</t>
  </si>
  <si>
    <t xml:space="preserve">Rail VT tordu, suite à l'alerte Qualité faut-il faire une CT129 ?</t>
  </si>
  <si>
    <t xml:space="preserve">OZ1826935</t>
  </si>
  <si>
    <t xml:space="preserve">2026-01-29 15:55</t>
  </si>
  <si>
    <t xml:space="preserve">1027711844</t>
  </si>
  <si>
    <t xml:space="preserve">Un équipement à été servis avec les 19 autres et il a la même ref ABS0064-01 et cms 7388650204 mais n'a pas le même disign (pointe sur le dessus) que tous les autres puis il a aussi des différences sur les autres ref inscrites dessus (voir photos). Vu que c'est un aspect différent des autres pour l'uniformisation peut-on quand même le monter ?</t>
  </si>
  <si>
    <t xml:space="preserve">OZ1828564</t>
  </si>
  <si>
    <t xml:space="preserve">2026-01-30 09:24</t>
  </si>
  <si>
    <t xml:space="preserve">IMPRESSION_A320</t>
  </si>
  <si>
    <t xml:space="preserve">FAISCEAU RECHANGE_A320</t>
  </si>
  <si>
    <t xml:space="preserve">Etiquettes autocollantes 40x46 mm utilisées notamment pour les faisceaux F900.00954.888.95 et F900.00954.887.95 ne collent pas assez et se détachent.</t>
  </si>
  <si>
    <t xml:space="preserve">OZ1848430</t>
  </si>
  <si>
    <t xml:space="preserve">2026-02-10 17:44</t>
  </si>
  <si>
    <t xml:space="preserve">1027849736</t>
  </si>
  <si>
    <t xml:space="preserve">prise hs, changer (le TL m'en a apporter un nouveau)</t>
  </si>
  <si>
    <t xml:space="preserve">OZ1851957</t>
  </si>
  <si>
    <t xml:space="preserve">2026-02-11 21:28</t>
  </si>
  <si>
    <t xml:space="preserve">MECA</t>
  </si>
  <si>
    <t xml:space="preserve">1027848096</t>
  </si>
  <si>
    <t xml:space="preserve">ON NE PEUT TOUJOURS PAS FAIRE LA SAISIE D OUTIL DEPUIS MSN823</t>
  </si>
  <si>
    <t xml:space="preserve">OZ1852109</t>
  </si>
  <si>
    <t xml:space="preserve">2026-02-11 23:27</t>
  </si>
  <si>
    <t xml:space="preserve">1028218156</t>
  </si>
  <si>
    <t xml:space="preserve">peinture bleu face avant écaillée au trou VN</t>
  </si>
  <si>
    <t xml:space="preserve">OZ1861152</t>
  </si>
  <si>
    <t xml:space="preserve">2026-02-17 14:24</t>
  </si>
  <si>
    <t xml:space="preserve">1028305007</t>
  </si>
  <si>
    <t xml:space="preserve">Changement de support route 2M MSN 831 Remise au propre des câbles.</t>
  </si>
  <si>
    <t xml:space="preserve">OZ1868168</t>
  </si>
  <si>
    <t xml:space="preserve">2026-02-20 08:36</t>
  </si>
  <si>
    <t xml:space="preserve">ETIQUETTES + MANCHONS_A330</t>
  </si>
  <si>
    <t xml:space="preserve">Faisceaux rechanges F900.00954.888.95I et F900.00954.887.95I Les étiquettes autocollantes positionnées sur les câbles se décollent et tombent.</t>
  </si>
  <si>
    <t xml:space="preserve">OZ1875389</t>
  </si>
  <si>
    <t xml:space="preserve">2026-02-25 08:03</t>
  </si>
  <si>
    <t xml:space="preserve">1028041621</t>
  </si>
  <si>
    <t xml:space="preserve">Platine V9241920800000 A00 endommagé prélevé sur MSN834 NC en cours</t>
  </si>
  <si>
    <t xml:space="preserve">OZ1890013</t>
  </si>
  <si>
    <t xml:space="preserve">2026-03-04 14:02</t>
  </si>
  <si>
    <t xml:space="preserve">SSENS_S1</t>
  </si>
  <si>
    <t xml:space="preserve">1028259874</t>
  </si>
  <si>
    <t xml:space="preserve">CABLE ABIME PAR TETE A ERMA PRISE 1608VC019 NC PRISE EN COMPTE PAR ERMA</t>
  </si>
  <si>
    <t xml:space="preserve">OZ1897602</t>
  </si>
  <si>
    <t xml:space="preserve">2026-03-09 13:12</t>
  </si>
  <si>
    <t xml:space="preserve">1028259713</t>
  </si>
  <si>
    <t xml:space="preserve">NON METALISE</t>
  </si>
  <si>
    <t xml:space="preserve">Fait par l'opérateur</t>
  </si>
  <si>
    <t xml:space="preserve">OZ1909961</t>
  </si>
  <si>
    <t xml:space="preserve">2026-03-15 11:36</t>
  </si>
  <si>
    <t xml:space="preserve">1027963079</t>
  </si>
  <si>
    <t xml:space="preserve">Suite a Aléa OZ1897649, la qualité a t'elle statué? Constat de désaffleurement sur le rivet à frapper au niveau de la plage de la 300VN359 (voir pièce jointe). Attente statut pour installer la VN. Acceptable ou création de NC, intervention CIB.</t>
  </si>
  <si>
    <t xml:space="preserve">OZ1915409</t>
  </si>
  <si>
    <t xml:space="preserve">2026-03-17 21:28</t>
  </si>
  <si>
    <t xml:space="preserve">1028434441</t>
  </si>
  <si>
    <t xml:space="preserve">bonjour, la nouvelle livraison de plaquettes présente une différence sur les plaquettes d'ensemble notées "V92931101000 WF201/1101VB SER". Le SER est placé à gauche de la dernière ligne alors qu'il était au milieu jusqu'alors, est-ce une non conformité? doit-on déjà conserver les anciennes plaquettes en surnombre sur les msn précédents le 839? et si la nouvelle disposition est correcte, le PB peut</t>
  </si>
  <si>
    <t xml:space="preserve">OZ1916115</t>
  </si>
  <si>
    <t xml:space="preserve">2026-03-18 08:51</t>
  </si>
  <si>
    <t xml:space="preserve">1028139158</t>
  </si>
  <si>
    <t xml:space="preserve">Bonjour, Merci de bien vouloir créer une NC suite à une erreur de vis, un écrou riveté est endommagé sur le MIP 835 intégration 1, Merci,</t>
  </si>
  <si>
    <t xml:space="preserve">OZ1923144</t>
  </si>
  <si>
    <t xml:space="preserve">2026-03-20 21:42</t>
  </si>
  <si>
    <t xml:space="preserve">1028259994</t>
  </si>
  <si>
    <t xml:space="preserve">Tuyauterie endommagé au montage prélevée pour MSN 834.</t>
  </si>
  <si>
    <t xml:space="preserve">Tuyauterie conforme</t>
  </si>
  <si>
    <t xml:space="preserve">OZ1927807</t>
  </si>
  <si>
    <t xml:space="preserve">2026-03-24 14:10</t>
  </si>
  <si>
    <t xml:space="preserve">1028041859</t>
  </si>
  <si>
    <t xml:space="preserve">rail de vt défectueux tordu V92931101000 PRELEVE SUR MSN844 POUR MSN835</t>
  </si>
  <si>
    <t xml:space="preserve">OZ1937210</t>
  </si>
  <si>
    <t xml:space="preserve">2026-03-28 08:40</t>
  </si>
  <si>
    <t xml:space="preserve">1028739402</t>
  </si>
  <si>
    <t xml:space="preserve">pas l outillage nécessaire pour torquer les lampes E0430-02</t>
  </si>
  <si>
    <t xml:space="preserve">OZ1948066</t>
  </si>
  <si>
    <t xml:space="preserve">2026-04-02 18:58</t>
  </si>
  <si>
    <t xml:space="preserve">1028522326</t>
  </si>
  <si>
    <t xml:space="preserve">NON METALLISEES comme l avion precedent vu avec manu la fois d avant</t>
  </si>
  <si>
    <t xml:space="preserve">OZ1948068</t>
  </si>
  <si>
    <t xml:space="preserve">2026-04-02 19:01</t>
  </si>
  <si>
    <t xml:space="preserve">1028522338</t>
  </si>
  <si>
    <t xml:space="preserve">Le support sur la rampe mal serti comme l autre fois a croire que c est la meme rampe qui est revenue sur l avion d apres....</t>
  </si>
  <si>
    <t xml:space="preserve">OZ1950308</t>
  </si>
  <si>
    <t xml:space="preserve">2026-04-03 15:18</t>
  </si>
  <si>
    <t xml:space="preserve">TA 742VU</t>
  </si>
  <si>
    <t xml:space="preserve">1028821309</t>
  </si>
  <si>
    <t xml:space="preserve">Raison: mauvaise jauge de câble. 2434-0002 DRC12 300cm</t>
  </si>
  <si>
    <t xml:space="preserve">OZ1950989</t>
  </si>
  <si>
    <t xml:space="preserve">2026-04-05 11:35</t>
  </si>
  <si>
    <t xml:space="preserve">1028041917</t>
  </si>
  <si>
    <t xml:space="preserve">Tuyauterie fournisseur au dessus de la 1WK12-A étiquette référence et stamp décollé. Demande avis QLS. Rail 500VT200 déformé, demande avis qualité également.</t>
  </si>
  <si>
    <t xml:space="preserve">OZ1955084</t>
  </si>
  <si>
    <t xml:space="preserve">2026-04-08 12:39</t>
  </si>
  <si>
    <t xml:space="preserve">1028960434</t>
  </si>
  <si>
    <t xml:space="preserve">Pas d'outils pour torquer à la valeur nominale 0.225</t>
  </si>
  <si>
    <t xml:space="preserve">OZ1957281</t>
  </si>
  <si>
    <t xml:space="preserve">2026-04-09 09:50</t>
  </si>
  <si>
    <t xml:space="preserve">1028572610</t>
  </si>
  <si>
    <t xml:space="preserve">OZ1957798</t>
  </si>
  <si>
    <t xml:space="preserve">2026-04-09 12:30</t>
  </si>
  <si>
    <t xml:space="preserve">E-RUDDER_A320</t>
  </si>
  <si>
    <t xml:space="preserve">TETE A_A320</t>
  </si>
  <si>
    <t xml:space="preserve">1029074623</t>
  </si>
  <si>
    <t xml:space="preserve">Pour la mise en œuvre des auto soudeurs sur les câbles blindés, sur la traçabilité des outils on ne nous demande pas l'infrarouge. Voir pour le faire rajouter svp. Merci.</t>
  </si>
  <si>
    <t xml:space="preserve">OZ1958836</t>
  </si>
  <si>
    <t xml:space="preserve">2026-04-09 18:50</t>
  </si>
  <si>
    <t xml:space="preserve">1028434456</t>
  </si>
  <si>
    <t xml:space="preserve">Problème sur toutes les plaquettes 1WK mauvais marquage de plaquette</t>
  </si>
  <si>
    <t xml:space="preserve">OZ1961259</t>
  </si>
  <si>
    <t xml:space="preserve">2026-04-10 16:58</t>
  </si>
  <si>
    <t xml:space="preserve">1028348065</t>
  </si>
  <si>
    <t xml:space="preserve">Bonjour. A quand de montage des éléments dans le platine V9241959500000, je remarque que la même il' Ya 2 petites impacte au niveau da RAMP. Voici la photo annexé pour meilleur voir. Merci et bonne journée</t>
  </si>
  <si>
    <t xml:space="preserve">OZ1969972</t>
  </si>
  <si>
    <t xml:space="preserve">2026-04-15 23:54</t>
  </si>
  <si>
    <t xml:space="preserve">1028522354</t>
  </si>
  <si>
    <t xml:space="preserve">bonjour, nous avons une colonnette HS dans le pylone route 2M, merci d'avance. cordialement</t>
  </si>
  <si>
    <t xml:space="preserve">OZ1971413</t>
  </si>
  <si>
    <t xml:space="preserve">2026-04-16 14:25</t>
  </si>
  <si>
    <t xml:space="preserve">FABRICATION 743VU</t>
  </si>
  <si>
    <t xml:space="preserve">1028937784</t>
  </si>
  <si>
    <t xml:space="preserve">temp perdu 1H cause équerre mal montée sur le 743VU MSN 2140</t>
  </si>
  <si>
    <t xml:space="preserve">OZ1979538</t>
  </si>
  <si>
    <t xml:space="preserve">2026-04-21 23:33</t>
  </si>
  <si>
    <t xml:space="preserve">SSENS1</t>
  </si>
  <si>
    <t xml:space="preserve">1028934928</t>
  </si>
  <si>
    <t xml:space="preserve">Bonjour. Quand je positionne la prise 1706VC001, da route 1R, MSN 847, je me suis aperçu que les auto-soudeurs da même sont fait a 8cm au lieu de 11 cm. SVP de regarde a fin de la faire bien a 11cm pour que je puisse finir la route. Merci et bonne journée</t>
  </si>
  <si>
    <t xml:space="preserve">OZ1992065</t>
  </si>
  <si>
    <t xml:space="preserve">2026-04-28 23:29</t>
  </si>
  <si>
    <t xml:space="preserve">1029062553</t>
  </si>
  <si>
    <t xml:space="preserve">Platine VG défectueuse réf F9251529400000 la VG ne se monte pas car filetage endommagé</t>
  </si>
  <si>
    <t xml:space="preserve">OZ1995533</t>
  </si>
  <si>
    <t xml:space="preserve">2026-04-30 10:33</t>
  </si>
  <si>
    <t xml:space="preserve">MECANIQUE 740VU</t>
  </si>
  <si>
    <t xml:space="preserve">1029148710</t>
  </si>
  <si>
    <t xml:space="preserve">Disjoncteur EN3661-005A35AB reçu sans écrou ni rondelle Kanban 26F-PW740 Casier 38 CMS 7173240039</t>
  </si>
  <si>
    <t xml:space="preserve">Pris en compte, les autres du kanban sont a prioiri conforme. Je cloture donc l'incident</t>
  </si>
  <si>
    <t xml:space="preserve">OZ1995563</t>
  </si>
  <si>
    <t xml:space="preserve">2026-04-30 10:48</t>
  </si>
  <si>
    <t xml:space="preserve">CHEMINEMENT 742VU</t>
  </si>
  <si>
    <t xml:space="preserve">1029148722</t>
  </si>
  <si>
    <t xml:space="preserve">Cable manquant livraison. 2424-0053 DR24 200cm</t>
  </si>
  <si>
    <t xml:space="preserve">OZ1996292</t>
  </si>
  <si>
    <t xml:space="preserve">2026-04-30 14:42</t>
  </si>
  <si>
    <t xml:space="preserve">1028657632</t>
  </si>
  <si>
    <t xml:space="preserve">Bonjour, Suite câbles abîmés, merci ce bien vouloir créer une NC afin de faire le remplacement des câbles svp, route 2S MIP 844, DR20 2781-0065 longueur 130 cms DR24 2751-0970 longueur 135 cms DR24 2781-0355 longueur 135 cms DR24 7325-0087 longueur 125 cms AD24 7835-0094 longueur 116 cms Merci,</t>
  </si>
  <si>
    <t xml:space="preserve">OZ1997045</t>
  </si>
  <si>
    <t xml:space="preserve">2026-04-30 23:28</t>
  </si>
  <si>
    <t xml:space="preserve">MSN:2140 ( 742 VU ) OF: 109148722 cable manquant dr 20 longueur 240 2829-0030</t>
  </si>
  <si>
    <t xml:space="preserve">OZ2002831</t>
  </si>
  <si>
    <t xml:space="preserve">2026-05-06 12:19</t>
  </si>
  <si>
    <t xml:space="preserve">1028998503</t>
  </si>
  <si>
    <t xml:space="preserve">Cable trop court Cable DRB 24 numéros: 3313-0124 Longueur: 520</t>
  </si>
  <si>
    <t xml:space="preserve">OZ2003175</t>
  </si>
  <si>
    <t xml:space="preserve">2026-05-06 14:19</t>
  </si>
  <si>
    <t xml:space="preserve">FABRICATION_A320</t>
  </si>
  <si>
    <t xml:space="preserve">1029305294</t>
  </si>
  <si>
    <t xml:space="preserve">Par la présente, nous réitérons l’urgence absolue concernant le remplacement des contreprises et des connecteurs sur les équipements RUDDER et MFRL. Malgré nos précédents signalements, la situation a évolué vers un stade de risque critique qui nécessite une action immédiate. 1. Constatations sur le terrain Présence de particules métalliques : Des dépôts de limaille (effritement de l’émail de fer) </t>
  </si>
  <si>
    <t xml:space="preserve">Pris en compte par équipe projet</t>
  </si>
  <si>
    <t xml:space="preserve">OZ2005623</t>
  </si>
  <si>
    <t xml:space="preserve">2026-05-07 14:21</t>
  </si>
  <si>
    <t xml:space="preserve">TETEA1</t>
  </si>
  <si>
    <t xml:space="preserve">Bonjour , j'ai une prise rectangle endommager , il est impossible d'enficher .Ref équipement :2306E12FP1A5</t>
  </si>
  <si>
    <t xml:space="preserve">ok donner en prod</t>
  </si>
  <si>
    <t xml:space="preserve">OZ2006595</t>
  </si>
  <si>
    <t xml:space="preserve">2026-05-09 10:51</t>
  </si>
  <si>
    <t xml:space="preserve">1029282394</t>
  </si>
  <si>
    <t xml:space="preserve">Etiquette autocollante 590VC abimée</t>
  </si>
  <si>
    <t xml:space="preserve">étiquette reçu et donnée à la prod</t>
  </si>
  <si>
    <t xml:space="preserve">OZ2010276</t>
  </si>
  <si>
    <t xml:space="preserve">2026-05-12 12:34</t>
  </si>
  <si>
    <t xml:space="preserve">1028745430</t>
  </si>
  <si>
    <t xml:space="preserve">Bonjour. Suite casse back Shell 3CB-A ref. E0684E05FBN merci de bien vouloir crée une NC pour replacement prise prélevé du chariot du MSN 857.</t>
  </si>
  <si>
    <t xml:space="preserve">ok</t>
  </si>
  <si>
    <t xml:space="preserve">OZ2011668</t>
  </si>
  <si>
    <t xml:space="preserve">2026-05-12 22:58</t>
  </si>
  <si>
    <t xml:space="preserve">1029305376</t>
  </si>
  <si>
    <t xml:space="preserve">NETTOYAGE DES CONTRES PRISES SUR TABLE DE CHEMINEMENT</t>
  </si>
  <si>
    <t xml:space="preserve">OZ2020544</t>
  </si>
  <si>
    <t xml:space="preserve">2026-05-20 09:08</t>
  </si>
  <si>
    <t xml:space="preserve">MULTIPROGRAMME_A350</t>
  </si>
  <si>
    <t xml:space="preserve">TRESSE DE MASSE</t>
  </si>
  <si>
    <t xml:space="preserve">20/05/2026 Poste Pièces élémentaires. Pour la fabrication des câbles de Masses Alu grosses sections. Deux câbles fournis sont endommagés et inutilisables pour l’OF concerné. Câbles Alu, Type AD3, de longueur 1010 mm. Gammes impactées : OF 57547818 (débit câble) OF 57532750 (Fabrication) En attente de deux nouveaux câbles.</t>
  </si>
  <si>
    <t xml:space="preserve">OZ2027531</t>
  </si>
  <si>
    <t xml:space="preserve">2026-05-22 18:10</t>
  </si>
  <si>
    <t xml:space="preserve">1028998899</t>
  </si>
  <si>
    <t xml:space="preserve">Pipe endommagée au montage sur le MSN 848 prélevée sur le MSN 851. Pipe endommagée déposée sur bureau QLS Es-Salehy.R</t>
  </si>
  <si>
    <t xml:space="preserve">OZ2027570</t>
  </si>
  <si>
    <t xml:space="preserve">2026-05-22 19:11</t>
  </si>
  <si>
    <t xml:space="preserve">CS 742VU</t>
  </si>
  <si>
    <t xml:space="preserve">1029361317</t>
  </si>
  <si>
    <t xml:space="preserve">Sur porte 742VU, MSN2162. Port de branchement "B" H.S de a barette 709VT, module 1. Demande : Changement du module.</t>
  </si>
  <si>
    <t xml:space="preserve">OZ2027591</t>
  </si>
  <si>
    <t xml:space="preserve">2026-05-22 21:17</t>
  </si>
  <si>
    <t xml:space="preserve">SSENS2</t>
  </si>
  <si>
    <t xml:space="preserve">1029207721</t>
  </si>
  <si>
    <t xml:space="preserve">Bonjour, Câble coupé trop court sur la 20TC2A Câble N°4612-0350 KL24 Longueur : 320CM</t>
  </si>
  <si>
    <t xml:space="preserve">OZ2027685</t>
  </si>
  <si>
    <t xml:space="preserve">2026-05-23 10:52</t>
  </si>
  <si>
    <t xml:space="preserve">Cable coupé trop court par l'operateur sur la 2M CDVE DR 24 Numéros: 2797-0602 Longueur : 540 Merci</t>
  </si>
  <si>
    <t xml:space="preserve">OZ2027875</t>
  </si>
  <si>
    <t xml:space="preserve">2026-05-25 15:56</t>
  </si>
  <si>
    <t xml:space="preserve">1029207701</t>
  </si>
  <si>
    <t xml:space="preserve">Pièce manquante bonjour, les plaquettes des prises 7DG1-A et 8DG1-A (ref. E0248A2-6H9 ), imprimées afin de palier à la non-conformité des lots reçus, sont épuisées. Il est nécessaire d'en imprimer de nouveau, svp. merci henri</t>
  </si>
  <si>
    <t xml:space="preserve">OZ2030680</t>
  </si>
  <si>
    <t xml:space="preserve">2026-05-26 23:21</t>
  </si>
  <si>
    <t xml:space="preserve">1029361481</t>
  </si>
  <si>
    <t xml:space="preserve">Pièce manquante msn 2163 of 1029361481 740vu ref f113.120123.000.00 probleme sur 5 lot etiquette manque 1er page etiquette de 2pc a 5xb .</t>
  </si>
  <si>
    <t xml:space="preserve">OZ2030717</t>
  </si>
  <si>
    <t xml:space="preserve">2026-05-26 23:50</t>
  </si>
  <si>
    <t xml:space="preserve">1029361543</t>
  </si>
  <si>
    <t xml:space="preserve">MSN 2163 OF: 1029361543 742 VU PORTE CABLE MANQUANT DR 24 2911-0447 LONGUEUR: 220</t>
  </si>
  <si>
    <t xml:space="preserve">OZ2034049</t>
  </si>
  <si>
    <t xml:space="preserve">2026-05-28 08:18</t>
  </si>
  <si>
    <t xml:space="preserve">MULTIPROGRAMME_A320</t>
  </si>
  <si>
    <t xml:space="preserve">SIMU_A320</t>
  </si>
  <si>
    <t xml:space="preserve">Pour les 59 VU, OF: 57499773 et 57513681 Il manque dans les blisters 1 support équipé D925.20133.000 Nous avons regardé L' ENS. Structure D925.20536.000.60, et il y est. Donc il manque 2 supports équipés au total qui n'étaient pas dans les blisters</t>
  </si>
  <si>
    <t xml:space="preserve">SERVITUDE OK</t>
  </si>
  <si>
    <t xml:space="preserve">OZ2044597</t>
  </si>
  <si>
    <t xml:space="preserve">2026-06-03 06:57</t>
  </si>
  <si>
    <t xml:space="preserve">1029210892</t>
  </si>
  <si>
    <t xml:space="preserve">Pièce manquante BONJOUR OF:1029210892 MSN:855 ROUTE 1R PLAQUETTE DE LA PRISE 1706VC001 MANQUANTE (PRELEVEE POUR UN AUTRE MSN ET PAS REMPLACEE)</t>
  </si>
  <si>
    <t xml:space="preserve">servi</t>
  </si>
  <si>
    <t xml:space="preserve">OZ2048057</t>
  </si>
  <si>
    <t xml:space="preserve">2026-06-04 09:57</t>
  </si>
  <si>
    <t xml:space="preserve">1029399691</t>
  </si>
  <si>
    <t xml:space="preserve">Test olivier et Marc</t>
  </si>
  <si>
    <t xml:space="preserve">OZ2059347</t>
  </si>
  <si>
    <t xml:space="preserve">2026-06-10 10:01</t>
  </si>
  <si>
    <t xml:space="preserve">CONDITIONNEMENT 740VU</t>
  </si>
  <si>
    <t xml:space="preserve">1029237370</t>
  </si>
  <si>
    <t xml:space="preserve">Câble à recommander : Numéro : 2434-0003 Type : DG 4 Longueur : 80 Raison : Mise en œuvre incorrect. MSN : 2161</t>
  </si>
  <si>
    <t xml:space="preserve">OZ2061700</t>
  </si>
  <si>
    <t xml:space="preserve">2026-06-11 00:02</t>
  </si>
  <si>
    <t xml:space="preserve">1029324529</t>
  </si>
  <si>
    <t xml:space="preserve">bonjour, backshell cassé lors du torquage de la prise Réf. raccord : ABS1896A08E Merci</t>
  </si>
  <si>
    <t xml:space="preserve">OZ2071840</t>
  </si>
  <si>
    <t xml:space="preserve">2026-06-16 17:12</t>
  </si>
  <si>
    <t xml:space="preserve">1029637798</t>
  </si>
  <si>
    <t xml:space="preserve">Bonjour. Suite a mauvais identification de certains câbles, il avez de câbles da prise 1608VC070 A identifie comme câbles da prise 1608VC066 A et le contraire aussi Save-dire câbles da 1608VC066 A dans la prise 1608VC070 A. Merci de bien Controller les arbores avant de les envoie en Tête A. Bonne Soirée.</t>
  </si>
  <si>
    <t xml:space="preserve">OZ2073378</t>
  </si>
  <si>
    <t xml:space="preserve">2026-06-17 09:08</t>
  </si>
  <si>
    <t xml:space="preserve">1029554910</t>
  </si>
  <si>
    <t xml:space="preserve">Manque prise 20TC2 A Réf. équipement : ABS2306E08FR1A1 Réf. raccord : EN3545-007SCE Merci</t>
  </si>
  <si>
    <t xml:space="preserve">fait</t>
  </si>
  <si>
    <t xml:space="preserve">OZ2076534</t>
  </si>
  <si>
    <t xml:space="preserve">2026-06-18 09:55</t>
  </si>
  <si>
    <t xml:space="preserve">SSENS3</t>
  </si>
  <si>
    <t xml:space="preserve">1029574118</t>
  </si>
  <si>
    <t xml:space="preserve">Bonjour câble KL mauvaises sens numero : 4612-0371 ET 4612-370 MSN : 861 2M LIGNE : 3 OF: 1029574118 MERCI</t>
  </si>
  <si>
    <t xml:space="preserve">OZ2078766</t>
  </si>
  <si>
    <t xml:space="preserve">2026-06-18 23:22</t>
  </si>
  <si>
    <t xml:space="preserve">1029377348</t>
  </si>
  <si>
    <t xml:space="preserve">La structure MSN 857, les étiquettes autocollantes ne sont pas installées pour l'identification des prises Arinc et 3CB A/B.</t>
  </si>
  <si>
    <t xml:space="preserve">OZ2078821</t>
  </si>
  <si>
    <t xml:space="preserve">2026-06-19 00:42</t>
  </si>
  <si>
    <t xml:space="preserve">1029376652</t>
  </si>
  <si>
    <t xml:space="preserve">Bonjour. Sur le MSN 856 ils sont pas installe les 6 étiquette autocollante de repère des prises arinc plus le 2 de prise 3CB A/B. Merci de vérifier et de le remettre en conformité Bonne Journée.</t>
  </si>
  <si>
    <t xml:space="preserve">OZ2088070</t>
  </si>
  <si>
    <t xml:space="preserve">2026-06-24 15:15</t>
  </si>
  <si>
    <t xml:space="preserve">FOMAX_A320</t>
  </si>
  <si>
    <t xml:space="preserve">57590665</t>
  </si>
  <si>
    <t xml:space="preserve">Fomax 786-95 OF 57590665 apparemment, 1 étiquette rapidshare a dû tomber. L'étiquette pour le KL 24 n°4626-7114 est manquante Besoin d'une réimpression. Merci d'avance</t>
  </si>
  <si>
    <t xml:space="preserve">OZ2088755</t>
  </si>
  <si>
    <t xml:space="preserve">2026-06-24 23:47</t>
  </si>
  <si>
    <t xml:space="preserve">1029554905</t>
  </si>
  <si>
    <t xml:space="preserve">BONSOIR OF 1029554905 MSN 8S0 ROUITE 2M CDVE LE BACKSHELL DE LA PRISE 9KS J14 S'EST CASSE EN TORQUANT REFERENCE ABS1896A09P MERCI</t>
  </si>
  <si>
    <t xml:space="preserve">OZ2095101</t>
  </si>
  <si>
    <t xml:space="preserve">2026-06-29 11:02</t>
  </si>
  <si>
    <t xml:space="preserve">1029377424</t>
  </si>
  <si>
    <t xml:space="preserve">Bonjour, Nous avons une étiquette auto-collant manquant sur une prise NON CDVE 1608VC021 A, route 1S, poste TEST 1. Pourriez vous nous fournir pour qu'elle soit conformité. Merci! Cordialement, Vanessa.</t>
  </si>
  <si>
    <t xml:space="preserve">Demande impression étiquette réaliser.</t>
  </si>
  <si>
    <t xml:space="preserve">OZ2097291</t>
  </si>
  <si>
    <t xml:space="preserve">2026-06-29 22:37</t>
  </si>
  <si>
    <t xml:space="preserve">1029574611</t>
  </si>
  <si>
    <t xml:space="preserve">Bonjour. Le MIP MSN 861, les étiquettes autocollantes de repère de prise arinc plus des deux prise 3CB-A/B sont pas installer. SVP de passer sur poste pour vérifier et demande de installer les mêmes étiquettes. Merci et bonne journée.</t>
  </si>
  <si>
    <t xml:space="preserve">OZ2107275</t>
  </si>
  <si>
    <t xml:space="preserve">2026-07-03 09:42</t>
  </si>
  <si>
    <t xml:space="preserve">1029958964</t>
  </si>
  <si>
    <t xml:space="preserve">attente d'un controle sertissage cdve depuis 7H30</t>
  </si>
  <si>
    <t xml:space="preserve">contrôle cdve effectue</t>
  </si>
  <si>
    <t xml:space="preserve">OZ2108613</t>
  </si>
  <si>
    <t xml:space="preserve">2026-07-03 17:52</t>
  </si>
  <si>
    <t xml:space="preserve">1030138820</t>
  </si>
  <si>
    <t xml:space="preserve">Bonjour, MSN 859 ULR Connecteur : 20TC2 A L2 2M Présence de feutre noir sur le connecteur. Prélèvement fait sur le MSN 867 Merci.</t>
  </si>
  <si>
    <t xml:space="preserve">OZ2109398</t>
  </si>
  <si>
    <t xml:space="preserve">2026-07-06 07:56</t>
  </si>
  <si>
    <t xml:space="preserve">IMPRESSION_A350</t>
  </si>
  <si>
    <t xml:space="preserve">FO A350</t>
  </si>
  <si>
    <t xml:space="preserve">1030238752</t>
  </si>
  <si>
    <t xml:space="preserve">Les postes de travails pour les opérations 20 30 et 40 ne peuvent pas être badgés car il n y a de QA associé ( 4VEF702). Merci de prendre le point.</t>
  </si>
  <si>
    <t xml:space="preserve">Postes de travail modifiés pour les phases 20, 30 et 40.</t>
  </si>
  <si>
    <t xml:space="preserve">OZ2116698</t>
  </si>
  <si>
    <t xml:space="preserve">2026-07-08 13:42</t>
  </si>
  <si>
    <t xml:space="preserve">MULTIPROGRAMME_A330</t>
  </si>
  <si>
    <t xml:space="preserve">RMAX_A330</t>
  </si>
  <si>
    <t xml:space="preserve">57580106</t>
  </si>
  <si>
    <t xml:space="preserve">RMAX A330 PN 872-95 et 873-95 les plaquettes repère n'apparaissent pas sur le plan de câblage. Faut-il les ajouter sachant qu'au moins 1 des 3 est présente sur la planche qui se trouve en page 9 de la SOI ? Merci</t>
  </si>
  <si>
    <t xml:space="preserve">c'set résolu. merci</t>
  </si>
  <si>
    <t xml:space="preserve">OZ2117932</t>
  </si>
  <si>
    <t xml:space="preserve">2026-07-08 20:51</t>
  </si>
  <si>
    <t xml:space="preserve">1029637876</t>
  </si>
  <si>
    <t xml:space="preserve">Pièce manquante pas de brossage et pas de vaseline non conforme</t>
  </si>
  <si>
    <t xml:space="preserve">Bonjour, pris en compte sous S03 = 1030330408</t>
  </si>
  <si>
    <t xml:space="preserve">OZ2117941</t>
  </si>
  <si>
    <t xml:space="preserve">2026-07-08 20:53</t>
  </si>
  <si>
    <t xml:space="preserve">1029638120</t>
  </si>
  <si>
    <t xml:space="preserve">Pièce manquante NON CONFORME</t>
  </si>
  <si>
    <t xml:space="preserve">Bonjour, pris en compte sous S03 = 1030330186</t>
  </si>
  <si>
    <t xml:space="preserve">OZ2117961</t>
  </si>
  <si>
    <t xml:space="preserve">2026-07-08 20:55</t>
  </si>
  <si>
    <t xml:space="preserve">1029638900</t>
  </si>
  <si>
    <t xml:space="preserve">NON CONFORME</t>
  </si>
  <si>
    <t xml:space="preserve">OZ2130029</t>
  </si>
  <si>
    <t xml:space="preserve">2026-07-16 18:42</t>
  </si>
  <si>
    <t xml:space="preserve">FINITION 740VU</t>
  </si>
  <si>
    <t xml:space="preserve">1029734826</t>
  </si>
  <si>
    <t xml:space="preserve">Bonjour, Suite à la détérioration (déchirure) du grommet de notre raccord arrière, nous sollicitons la servitude d'un raccord neuf référence NSA938025A12M, dans le but d'y prélever le grommet de rechange. Merci d'avance.</t>
  </si>
  <si>
    <t xml:space="preserve">OZ2131583</t>
  </si>
  <si>
    <t xml:space="preserve">2026-07-17 10:07</t>
  </si>
  <si>
    <t xml:space="preserve">57600569</t>
  </si>
  <si>
    <t xml:space="preserve">RMAX A330 PN 888-95 OF 57600569 PB survenu lors de la mise en œuvre de la gaine thermo haute température. La gaine du DR24 en sortie a fait une bulle qui a éclaté. Vérification du réglage de la température du générateur d'air chaude faite en consultant l'AIPI07-07-001 faite. Le DR24 semble ne pas être le même que celui que nous avions avant (changement de fournisseur ?),</t>
  </si>
  <si>
    <t xml:space="preserve">OZ2131597</t>
  </si>
  <si>
    <t xml:space="preserve">2026-07-17 10:11</t>
  </si>
  <si>
    <t xml:space="preserve">Vu avec les methodes, nous n'avons pas pu reproduire de bulles sur l'echantillon de câble de 5m. Ils valident donc l'utilisation du câble vu que ça à l'air d'etre un cas isolé. Je joints à cet MES leur analyse.</t>
  </si>
  <si>
    <t xml:space="preserve">OZ2137377</t>
  </si>
  <si>
    <t xml:space="preserve">2026-07-21 15:47</t>
  </si>
  <si>
    <t xml:space="preserve">1029638829</t>
  </si>
  <si>
    <t xml:space="preserve">probleme avec la prise ne se torque pas, tourne sur elle meme</t>
  </si>
  <si>
    <t xml:space="preserve">OZ2139044</t>
  </si>
  <si>
    <t xml:space="preserve">2026-07-22 09:56</t>
  </si>
  <si>
    <t xml:space="preserve">1029638884</t>
  </si>
  <si>
    <t xml:space="preserve">Bonjour, Sur la route 2M du MSN 866, le backshell ABS1896A08E de la prise 52CV-A s'est abimé lors du torquage. Merci d'en fournir un autre. Ref: ABS1896A08E</t>
  </si>
  <si>
    <t xml:space="preserve">SERVI</t>
  </si>
  <si>
    <t xml:space="preserve">OZ2142810</t>
  </si>
  <si>
    <t xml:space="preserve">2026-07-23 17:36</t>
  </si>
  <si>
    <t xml:space="preserve">1029638460</t>
  </si>
  <si>
    <t xml:space="preserve">MSN 864 et 865 impossible de badger les op10</t>
  </si>
  <si>
    <t xml:space="preserve">voir IMAGE</t>
  </si>
  <si>
    <t xml:space="preserve">OZ2150862</t>
  </si>
  <si>
    <t xml:space="preserve">2026-08-18 15:37</t>
  </si>
  <si>
    <t xml:space="preserve">DEBIT SUR STOCKS_A320</t>
  </si>
  <si>
    <t xml:space="preserve">57461975</t>
  </si>
  <si>
    <t xml:space="preserve">Problème de serrage tyrap sur les gaines de réserve rigides. L'AIPS indique un serrage à 2.50. Mais selon les pistolets ce serrage est trop lâche. Après vérification il serait plus adapté d'appliquer un serrage à 2.75 pour les pistolets que nous avons actuellement au poste.</t>
  </si>
  <si>
    <t xml:space="preserve">Suite à MFT du 16/09/2026 les pistolets tyrap qui ont été rendu au labo sont non conforme. Le 3eme pistolet restant est retiré de la production. L'analyse des impacts potentiels entre juillet et aôut sur les produits livrés est en cours. voir amandine plante, vanessa malet et nicolas gailler. Sur le relâchement des tyrap, le problème n'a pas été identifié ailleurs donc sans suite mais en obsvervat</t>
  </si>
  <si>
    <t xml:space="preserve">OZ2151820</t>
  </si>
  <si>
    <t xml:space="preserve">2026-08-18 22:23</t>
  </si>
  <si>
    <t xml:space="preserve">1029638982</t>
  </si>
  <si>
    <t xml:space="preserve">IMPOSSIBLE DE VALIDER LES NUMEROS DE SERIE</t>
  </si>
  <si>
    <t xml:space="preserve">OZ2153845</t>
  </si>
  <si>
    <t xml:space="preserve">2026-08-19 18:42</t>
  </si>
  <si>
    <t xml:space="preserve">1029637895</t>
  </si>
  <si>
    <t xml:space="preserve">Bonjour, Nous avons bien reçu la platine V924.19534.000. Cependant, les métallisations à brosser n'ont pas été réalisées. Les séries concernées (MSN) sont les 863, 864 et 865. Merci de bien vouloir traiter ce point dès que possible.</t>
  </si>
  <si>
    <t xml:space="preserve">OZ2155816</t>
  </si>
  <si>
    <t xml:space="preserve">2026-08-20 14:17</t>
  </si>
  <si>
    <t xml:space="preserve">1030067907</t>
  </si>
  <si>
    <t xml:space="preserve">Plaquette 34CE 2 mal imprimée (écrit 34) plusieurs cas comme ça sur cet avion</t>
  </si>
  <si>
    <t xml:space="preserve">OZ2155834</t>
  </si>
  <si>
    <t xml:space="preserve">2026-08-20 14:23</t>
  </si>
  <si>
    <t xml:space="preserve">1030068580</t>
  </si>
  <si>
    <t xml:space="preserve">Plaquette 34CE 1 mal imprimée (écrit "34") plusieurs cas similaires sur cet avion</t>
  </si>
  <si>
    <t xml:space="preserve">OZ2156839</t>
  </si>
  <si>
    <t xml:space="preserve">2026-08-20 21:44</t>
  </si>
  <si>
    <t xml:space="preserve">1030259828</t>
  </si>
  <si>
    <t xml:space="preserve">ABSENCE DE LA QUALITER SUR LE POSTE A320</t>
  </si>
  <si>
    <t xml:space="preserve">OZ2160067</t>
  </si>
  <si>
    <t xml:space="preserve">2026-08-24 12:43</t>
  </si>
  <si>
    <t xml:space="preserve">CONDITIONNEMENT</t>
  </si>
  <si>
    <t xml:space="preserve">1030699917</t>
  </si>
  <si>
    <t xml:space="preserve">Câble trop court de l'impression ( TETE A ) 2R MSN 871 VNC24 Numéro 2351-3348 LONG: 260</t>
  </si>
  <si>
    <t xml:space="preserve">Suite à erreur de longueur dans la S03 rajout de 3 phase pour ré impression S03 remis au kiting.</t>
  </si>
  <si>
    <t xml:space="preserve">OZ2166780</t>
  </si>
  <si>
    <t xml:space="preserve">2026-08-26 14:20</t>
  </si>
  <si>
    <t xml:space="preserve">1030167753</t>
  </si>
  <si>
    <t xml:space="preserve">Perte de temps suite a une erreur de gainage/frettage des MV/MG</t>
  </si>
  <si>
    <t xml:space="preserve">pris en compte</t>
  </si>
  <si>
    <t xml:space="preserve">OZ2181890</t>
  </si>
  <si>
    <t xml:space="preserve">2026-09-02 14:15</t>
  </si>
  <si>
    <t xml:space="preserve">1030183058</t>
  </si>
  <si>
    <t xml:space="preserve">Problème sur les vis NAS1635-04-6, elles casses pendant le torquage.</t>
  </si>
  <si>
    <t xml:space="preserve">vu avec la prod, j'ai isolé les deux boites kb afin d'avoir une nouvelle réappro ! la prod n'est pas bloqué, servitude en attendant d'un autre kb</t>
  </si>
  <si>
    <t xml:space="preserve">OZ2185072</t>
  </si>
  <si>
    <t xml:space="preserve">2026-09-03 13:27</t>
  </si>
  <si>
    <t xml:space="preserve">1029638929</t>
  </si>
  <si>
    <t xml:space="preserve">MODULE ABIME REF ABS 1569ME2002 (Module déjà changé)</t>
  </si>
  <si>
    <t xml:space="preserve">Module déjà changé</t>
  </si>
  <si>
    <t xml:space="preserve">OZ2186752</t>
  </si>
  <si>
    <t xml:space="preserve">2026-09-03 22:54</t>
  </si>
  <si>
    <t xml:space="preserve">1030470824</t>
  </si>
  <si>
    <t xml:space="preserve">A330 PORTE 742 VU MSN: 2171 OF: 1030470824 CABLES NON IMPRIMES DR 24 4942-0001 LONG 204 3523-0001 LONG 196 3121-0019 LONG 207 3121-0020 LONG 207 3261-0197 LONG 177 3162-0286 LONG 204 3162-0334 LONG 202 3162-0362 LONG 197 3154-0579 LONG 194 7325-1840 LONG 215</t>
  </si>
  <si>
    <t xml:space="preserve">NC prise en compte par OF 1030910333.</t>
  </si>
  <si>
    <t xml:space="preserve">OZ2208614</t>
  </si>
  <si>
    <t xml:space="preserve">2026-09-14 18:46</t>
  </si>
  <si>
    <t xml:space="preserve">1030599514</t>
  </si>
  <si>
    <t xml:space="preserve">manque rampe</t>
  </si>
  <si>
    <t xml:space="preserve">OZ2217354</t>
  </si>
  <si>
    <t xml:space="preserve">2026-09-17 10:12</t>
  </si>
  <si>
    <t xml:space="preserve">1030736589</t>
  </si>
  <si>
    <t xml:space="preserve">impossible de rentrer le n°série du 430HC voir photo en pj</t>
  </si>
  <si>
    <t xml:space="preserve">la prod n'est pas bloqué, le probleme vient du lot de controle de la piece, donc prélevement de la piece d'un MSN lointain / un incident va etre créer</t>
  </si>
  <si>
    <t xml:space="preserve">OZ2223327</t>
  </si>
  <si>
    <t xml:space="preserve">2026-09-21 08:36</t>
  </si>
  <si>
    <t xml:space="preserve">1030169567</t>
  </si>
  <si>
    <t xml:space="preserve">Bonjour je ne peux faire la saisie d outil sur MES car ce n est pas les bons qui sont préenregistrés et manuellement on ne peut pas le saisir Merci car gamme bloquée</t>
  </si>
  <si>
    <t xml:space="preserve">Ajout fait, mail d'alerte fait à la prod sans retour donc nous fermons le point</t>
  </si>
  <si>
    <t xml:space="preserve">OZ2224069</t>
  </si>
  <si>
    <t xml:space="preserve">2026-09-21 12:24</t>
  </si>
  <si>
    <t xml:space="preserve">1030139756</t>
  </si>
  <si>
    <t xml:space="preserve">absence de manchon Draw-Wire en bout de gaine de réserve numéro : V924.19589.000.00</t>
  </si>
  <si>
    <t xml:space="preserve">OZ2231766</t>
  </si>
  <si>
    <t xml:space="preserve">2026-09-23 14:25</t>
  </si>
  <si>
    <t xml:space="preserve">1031021237</t>
  </si>
  <si>
    <t xml:space="preserve">Connecteur endommagé Merci</t>
  </si>
  <si>
    <t xml:space="preserve">OZ2233438</t>
  </si>
  <si>
    <t xml:space="preserve">2026-09-23 23:56</t>
  </si>
  <si>
    <t xml:space="preserve">1030812179</t>
  </si>
  <si>
    <t xml:space="preserve">Pour la 1608VC046A, câble coupé par le rapid share 2792-0424, AD24, L620 Merci</t>
  </si>
  <si>
    <t xml:space="preserve">OZ2235348</t>
  </si>
  <si>
    <t xml:space="preserve">2026-09-24 14:42</t>
  </si>
  <si>
    <t xml:space="preserve">1030909341</t>
  </si>
  <si>
    <t xml:space="preserve">MSN 2171 212VU OF1030909341 Bonjour, Les plaquettes roses pour les CDVE ne sont pas bonnes. Cela concerne tout le MSN 2171 !! Merci</t>
  </si>
  <si>
    <t xml:space="preserve">nc faite</t>
  </si>
  <si>
    <t xml:space="preserve">OZ2237997</t>
  </si>
  <si>
    <t xml:space="preserve">2026-09-25 10:53</t>
  </si>
  <si>
    <t xml:space="preserve">Pour l'équipement Rotary Optical Encoder ABS1650-02, il y a eu une fiche alerte ME sur la ligne A330 pour le montage. Nous n'avons pas eu de fiche alerte, alors que nous le montons sur le 301 VU et 500 VU. Pourriez-vous en faire une ou l'intégrer dans les gammes?</t>
  </si>
  <si>
    <t xml:space="preserve">OZ2241541</t>
  </si>
  <si>
    <t xml:space="preserve">2026-09-28 14:02</t>
  </si>
  <si>
    <t xml:space="preserve">1030355832</t>
  </si>
  <si>
    <t xml:space="preserve">Bonjour suite à une mauvaise chauffe du manchon rétractable j'ai détérioré le câbles du MSN 873 L:235 type WX26 numéro 3161-0347</t>
  </si>
  <si>
    <t xml:space="preserve">"Bonjour. NC prise en compte et traitée par la S03 = 1031233848 Veuillez vérifier que le câble a bien été contrôlé par le service qualité avant sa remise en conformité. "</t>
  </si>
  <si>
    <t xml:space="preserve">OZ2241626</t>
  </si>
  <si>
    <t xml:space="preserve">2026-09-28 14:31</t>
  </si>
  <si>
    <t xml:space="preserve">1030830205</t>
  </si>
  <si>
    <t xml:space="preserve">Bonjour câbles CDVE manquant. Numéro : 2792-1024 Type : DR16 Longueur : 116 Numéro : 2792-1277 Type : DR16 Longueur : 120 Numéro : 2792-1278 Type : DR16 Longueur : 120 Numéro : 2792-1654 Type : DR16 Longueur : 120 Numéro : 2792-1041 Type : DR24 Longueur : 110 Numéro : 2792-3053 Type : DR24 Longueur : 110 Numéro : 2792-3190 Type : DR22 Longueur : 120 Numéro : 2792-3202 Type : DR22 Longueur : 120</t>
  </si>
  <si>
    <t xml:space="preserve">OZ2241695</t>
  </si>
  <si>
    <t xml:space="preserve">2026-09-28 15:04</t>
  </si>
  <si>
    <t xml:space="preserve">Bonjour câbles CDVE manquant. Numéro : 2792-1041 Type : DR24 Longueur : 110 Numéro : 2792-3053 Type : DR24 Longueur : 110 Numéro : 2792-3190 Type : DR22 Longueur : 120 Numéro : 2792-3202 Type : DR22 Longueur : 120</t>
  </si>
  <si>
    <t xml:space="preserve">Kept in block</t>
  </si>
  <si>
    <t xml:space="preserve">M1. Aléas of other kinds whose text describes a quality problem (no NC followed)</t>
  </si>
  <si>
    <t xml:space="preserve">Logistics, work-order and line disruptions whose comment reads like a quality problem. Grouped so you can answer yes / no per group instead of reading 107 rows.</t>
  </si>
  <si>
    <t xml:space="preserve">Answer Y or N in the yellow column for each group. Rows of a group marked Y are added to the disruption block (see Figures). The full list is below the table.</t>
  </si>
  <si>
    <t xml:space="preserve">Group</t>
  </si>
  <si>
    <t xml:space="preserve">Aléas</t>
  </si>
  <si>
    <t xml:space="preserve">Hours lost</t>
  </si>
  <si>
    <t xml:space="preserve">Three examples</t>
  </si>
  <si>
    <t xml:space="preserve">Count as quality? (Y/N)</t>
  </si>
  <si>
    <t xml:space="preserve">Cable damaged, cut too short or duplicated</t>
  </si>
  <si>
    <t xml:space="preserve">Reprise du câble bloquant le test 2452-0017 Et reprise de 3 câbles abimé vue lors du cheminement du câble temp | Pièce manquante BONJOUR SERAIT IL POSSIBLE DE RAJOUTER SUR TOUS LES POSTES DE TETE A DES CABLES DE REPRISE DR2 | Bonjour, En regardant la SOI je me suis aperçu que nous n'avons pas d'éléments nous stipulant la longueur de c</t>
  </si>
  <si>
    <t xml:space="preserve">Workmanship error on the line (crimping, forgotten, wrong fitting)</t>
  </si>
  <si>
    <t xml:space="preserve">Pièce manquante Faire attention a la reappro car il y a un ordre de haut en bas entre les tresses car inversio | Reprise TEST connecteurs inversés MSN 813 (9KSJ25, 9KSJ26) Explication a CIB pour intervention suite NC 216038 | Reprise des auto-soudeurs (Mauvaise mise en œuvre) manque reprise de 15CM pour MEO Band-IT</t>
  </si>
  <si>
    <t xml:space="preserve">Part or component broken, damaged or faulty</t>
  </si>
  <si>
    <t xml:space="preserve">Pièce manquante | Pièce manquante Bonjour, j'ai le module 6 de la VT 300VT400 défectueux, il me faudrait un de rechange ABS1569M | Pièce manquante BACKSHELL ABÎME EN3545007SCD PRISE 1610VC051 MSN816 ROUTE 1M</t>
  </si>
  <si>
    <t xml:space="preserve">Wrong or non-conforming part or document supplied</t>
  </si>
  <si>
    <t xml:space="preserve">OF : 1028348137 MSN : 840 Etiquette repère non conforme écriture non centré prise : 11CP1 D . Etiquette repère | Bonjour, sur les 2S, les plaquettes de la 100VN220, qui avaient été réimprimées car non conformes dans la dern | Bonjour, sur les 2S, les 100VN220, les plaquettes E0248A1-4H22, qui avaient été réimprimées car non conformes </t>
  </si>
  <si>
    <t xml:space="preserve">Other wording</t>
  </si>
  <si>
    <t xml:space="preserve">255VU MSN 1741 ( 57455142 ), Sur le plan F925-10607.003.b003, on me demande de mettre des vis NAS1100-06-5 pou | Sur le MSN13506 452VB, au moment de la finition, je m'aperçois que le harnais a été coupé trop court (il a été | Toutes les phases 30 ou 36 (contrôle du câble) de toutes les gammes NC de tous les programmes ne sont pas corr</t>
  </si>
  <si>
    <t xml:space="preserve">Counted as quality (groups marked Y)</t>
  </si>
  <si>
    <t xml:space="preserve">Counted</t>
  </si>
  <si>
    <t xml:space="preserve">OZ1832784</t>
  </si>
  <si>
    <t xml:space="preserve">2026-02-03</t>
  </si>
  <si>
    <t xml:space="preserve">TL - Trou de production - pas d activite</t>
  </si>
  <si>
    <t xml:space="preserve">Reprise du câble bloquant le test 2452-0017 Et reprise de 3 câbles abimé vue lors du cheminement du câble temps perdue 7h</t>
  </si>
  <si>
    <t xml:space="preserve">OZ1945005</t>
  </si>
  <si>
    <t xml:space="preserve">2026-04-01</t>
  </si>
  <si>
    <t xml:space="preserve">Pièce manquante BONJOUR SERAIT IL POSSIBLE DE RAJOUTER SUR TOUS LES POSTES DE TETE A DES CABLES DE REPRISE DR24 COUPES à 20 CM. ILS SONT NECESSAIRES 0 LA MISE EN OEUVRE DE CERTAINES PRISES SUR L'ENSEMBLES DES ROUTES M, S ET R MERCI</t>
  </si>
  <si>
    <t xml:space="preserve">OZ2053260</t>
  </si>
  <si>
    <t xml:space="preserve">Bonjour, En regardant la SOI je me suis aperçu que nous n'avons pas d'éléments nous stipulant la longueur de coupe des câbles sur les modules VT CDVE platines volantes, Serait-il possible de demander une notation sur les SOI à ce sujet? Merci,</t>
  </si>
  <si>
    <t xml:space="preserve">OZ2092418</t>
  </si>
  <si>
    <t xml:space="preserve">2026-06-26</t>
  </si>
  <si>
    <t xml:space="preserve">les longueurs donne dans la soi ne sont pas en accord avec la demande ( câble trop court )</t>
  </si>
  <si>
    <t xml:space="preserve">OZ2102144</t>
  </si>
  <si>
    <t xml:space="preserve">OF : 57543631 9012VB : Mauvaises longueurs de câbles dans SOI (Trop courts) / Fichiers LAS</t>
  </si>
  <si>
    <t xml:space="preserve">OZ2102153</t>
  </si>
  <si>
    <t xml:space="preserve">OF 57543638 9017VB : Mauvaises longueurs de câbles dans SOI (Trop courts) / Fichiers LAS</t>
  </si>
  <si>
    <t xml:space="preserve">OZ2102162</t>
  </si>
  <si>
    <t xml:space="preserve">57543641 9019VB Mauvaises longueurs de câbles dans SOI (Trop courts) / Fichiers LAS</t>
  </si>
  <si>
    <t xml:space="preserve">OZ2102165</t>
  </si>
  <si>
    <t xml:space="preserve">57543644 9031VB Mauvaises longueurs de câbles dans SOI (Trop courts) / Fichiers LAS</t>
  </si>
  <si>
    <t xml:space="preserve">OZ2102169</t>
  </si>
  <si>
    <t xml:space="preserve">57543651 9038VB Mauvaises longueurs de câbles dans SOI (Trop courts) / Fichiers LAS</t>
  </si>
  <si>
    <t xml:space="preserve">OZ2102171</t>
  </si>
  <si>
    <t xml:space="preserve">57543635 9014VB Mauvaises longueurs de câbles dans SOI (Trop courts) / Fichiers LAS</t>
  </si>
  <si>
    <t xml:space="preserve">OZ2102174</t>
  </si>
  <si>
    <t xml:space="preserve">57543696 9056VB Mauvaises longueurs de câbles dans SOI (Trop courts) / Fichiers LAS</t>
  </si>
  <si>
    <t xml:space="preserve">OZ2241681</t>
  </si>
  <si>
    <t xml:space="preserve">AOG F900.00954.962.95 Il est demandé des manchons MR0600, du câble XM24 sans aucune longueur associée à chaque manchon (Le fichier manchons est enregistré sous fichier LAS, fichier laser). Il est demandé de la gaine E0718-03-20 or, la matière n'apparaît pas sous un emplacement dans la fiche suiveuse (incohérence dans la désignation sans magasin et emplacement : V929.99067.GAI.01 DECOUPE GAINE POUR</t>
  </si>
  <si>
    <t xml:space="preserve">OZ2243063</t>
  </si>
  <si>
    <t xml:space="preserve">TL - Panne machine</t>
  </si>
  <si>
    <t xml:space="preserve">MSN 879 ROUTE 2M LORS DU SERTISSAGE ON TROUVE DES DOUBLONS DES CABLES AD 24 DANS FAISCEAU 300VD004A 3314-0023/3311003314-0041/3314-0029/3314-0051</t>
  </si>
  <si>
    <t xml:space="preserve">OZ1857527</t>
  </si>
  <si>
    <t xml:space="preserve">255VU MSN 1741 ( 57455142 ), Sur le plan F925-10607.003.b003, on me demande de mettre des vis NAS1100-06-5 pour assembler la rampe et la colonnette, mais elles sont trop courtes. Quelles vis les remplacent?</t>
  </si>
  <si>
    <t xml:space="preserve">OZ1887407</t>
  </si>
  <si>
    <t xml:space="preserve">2026-03-03</t>
  </si>
  <si>
    <t xml:space="preserve">MFRL_A320</t>
  </si>
  <si>
    <t xml:space="preserve">Sur le MSN13506 452VB, au moment de la finition, je m'aperçois que le harnais a été coupé trop court (il a été fait sur la morpho du 451VB). Il faudrait donc une nouvelle gamme pour le 452VB en y ajoutant le temps de finition que j'ai perdu à le commencer, c'est à dire 1h de plus.</t>
  </si>
  <si>
    <t xml:space="preserve">OZ1908057</t>
  </si>
  <si>
    <t xml:space="preserve">2026-03-13</t>
  </si>
  <si>
    <t xml:space="preserve">Toutes les phases 30 ou 36 (contrôle du câble) de toutes les gammes NC de tous les programmes ne sont pas correctes. Il faut changer le poste de travail. Mettre un poste pour les L2 et donner du temps</t>
  </si>
  <si>
    <t xml:space="preserve">OZ1923996</t>
  </si>
  <si>
    <t xml:space="preserve">bonjour, nous avons trouvé une autre anomalie sur les nouveaux lots de plaquettes. Sur les plaquettes d'arinq, dont l'écriture est habituellement alignée à gauche dans le but de les découper (la place étant limitée à l'intégration), l'écriture est centrée. Nous avons trouvé quelques anciennes plaquettes de remplacement mais il faudra vite lancer des réimpressions et signaler le problème au fournis</t>
  </si>
  <si>
    <t xml:space="preserve">OZ1961027</t>
  </si>
  <si>
    <t xml:space="preserve">2026-04-10</t>
  </si>
  <si>
    <t xml:space="preserve">découpe des étiquettes de fonctions pour le MSN2153 il restera a les installé</t>
  </si>
  <si>
    <t xml:space="preserve">OZ1962817</t>
  </si>
  <si>
    <t xml:space="preserve">2026-04-13</t>
  </si>
  <si>
    <t xml:space="preserve">Pièce manquante Bonjour. On a une platine de prise arinc V251150822022 manquant. SVP de la ramène de que possible a fin de pouvoirs finir la montage. Merci et bonne journée</t>
  </si>
  <si>
    <t xml:space="preserve">OZ1986465</t>
  </si>
  <si>
    <t xml:space="preserve">2026-04-26</t>
  </si>
  <si>
    <t xml:space="preserve">Pièce manquante Platines prélevé pour MSN 837.</t>
  </si>
  <si>
    <t xml:space="preserve">OZ2088011</t>
  </si>
  <si>
    <t xml:space="preserve">Bonjour, Nous constatons que le trait de coupe des VC 1001, 1003, 1027, 1033 et 1035 sur les plans de câblage du shunt (réf. F925-11260 / J&amp;T DRW T000581216-07400D01) ne correspond pas aux besoins actuels du poste d'intégration, ni au placement des pions sur la table. Serait-il possible de réétudier ce plan afin de l'adapter à nos contraintes ?</t>
  </si>
  <si>
    <t xml:space="preserve">OZ2114593</t>
  </si>
  <si>
    <t xml:space="preserve">2026-07-07</t>
  </si>
  <si>
    <t xml:space="preserve">Pièce manquante MSN 2167 OF 1029803122 740VU MANQUE SUPPORT RELAIS REFF92512659200</t>
  </si>
  <si>
    <t xml:space="preserve">OZ2250058</t>
  </si>
  <si>
    <t xml:space="preserve">Bonjour il me manque la gamme de rattrapage pour le nettoyage de l anodine sur cet avion et les prochains sans doute Merci Bonne journée</t>
  </si>
  <si>
    <t xml:space="preserve">OZ1799513</t>
  </si>
  <si>
    <t xml:space="preserve">Pièce manquante</t>
  </si>
  <si>
    <t xml:space="preserve">OZ1807333</t>
  </si>
  <si>
    <t xml:space="preserve">2026-01-20</t>
  </si>
  <si>
    <t xml:space="preserve">Pièce manquante Bonjour, j'ai le module 6 de la VT 300VT400 défectueux, il me faudrait un de rechange ABS1569ME2202</t>
  </si>
  <si>
    <t xml:space="preserve">OZ1807573</t>
  </si>
  <si>
    <t xml:space="preserve">Pièce manquante BACKSHELL ABÎME EN3545007SCD PRISE 1610VC051 MSN816 ROUTE 1M</t>
  </si>
  <si>
    <t xml:space="preserve">OZ1811146</t>
  </si>
  <si>
    <t xml:space="preserve">Pièce manquante bckshell cassé. merci Denis</t>
  </si>
  <si>
    <t xml:space="preserve">OZ1812186</t>
  </si>
  <si>
    <t xml:space="preserve">Pièce manquante bonjour Denis, il a abimé 2 connecteurs sur la même route... merci henri</t>
  </si>
  <si>
    <t xml:space="preserve">OZ1838293</t>
  </si>
  <si>
    <t xml:space="preserve">Pièce manquante Le grommet du connecteur ABS2306E01MR1E, de la 1610VC045, est abimé et il faut le remplacer Poste TA MSN 832 Merci</t>
  </si>
  <si>
    <t xml:space="preserve">OZ1868930</t>
  </si>
  <si>
    <t xml:space="preserve">équipement 6325018400 torquage a la valeur nominale impossible (0,12) très souvent la vis s'abîme ou l'embout de torquage casse. est ce que la valeur dans élec abc est bonne?</t>
  </si>
  <si>
    <t xml:space="preserve">OZ1900464</t>
  </si>
  <si>
    <t xml:space="preserve">Pièce manquante Il me faut 2 nouveaux module VT S25-52 ME2202 Raison: 2 plumes cassées a l'intérieur des modules Merci</t>
  </si>
  <si>
    <t xml:space="preserve">OZ1922371</t>
  </si>
  <si>
    <t xml:space="preserve">2026-03-20</t>
  </si>
  <si>
    <t xml:space="preserve">Pièce manquante Bonjour, Il faudrait remplacer le connecteur "EN3645-M6CN08BN" qui est défectueux sur le faisceau "513VC001 A", le contact ne s'enfiche pas sur la borne "B". Merc.</t>
  </si>
  <si>
    <t xml:space="preserve">OZ1932183</t>
  </si>
  <si>
    <t xml:space="preserve">2026-03-25</t>
  </si>
  <si>
    <t xml:space="preserve">Pièce manquante Bonjour, Est-ce que ça serait possible d'augmenter le nombre de manchons de la référence DAN341-01 de 5 à la place de 3 parce que ces backshell se cassent facilement à cause de leur mise en œuvre</t>
  </si>
  <si>
    <t xml:space="preserve">OZ1958647</t>
  </si>
  <si>
    <t xml:space="preserve">TL - Referent Zone coordination activite</t>
  </si>
  <si>
    <t xml:space="preserve">Temps perdu pour déclaration de détérioration &amp; déclaration de perte, de 1 embout torq set et une douille 11/32. Temps perdu ~40min.</t>
  </si>
  <si>
    <t xml:space="preserve">OZ1964366</t>
  </si>
  <si>
    <t xml:space="preserve">Pièce manquante raccord 3CB A endommagé. besoins de le remplacer avant teste REF : E0684E05FBN</t>
  </si>
  <si>
    <t xml:space="preserve">OZ1964631</t>
  </si>
  <si>
    <t xml:space="preserve">Pièce manquante CONNECTEUR ARRIVE HS L2 ROUTE 2M MARIE-BLANDINE</t>
  </si>
  <si>
    <t xml:space="preserve">OZ1969301</t>
  </si>
  <si>
    <t xml:space="preserve">Pièce manquante bonjour Vanessa, les connecteurs ont été abimés lors du torquage. merci</t>
  </si>
  <si>
    <t xml:space="preserve">OZ1974938</t>
  </si>
  <si>
    <t xml:space="preserve">Pièce manquante peinture rayée remerci denis!!!</t>
  </si>
  <si>
    <t xml:space="preserve">OZ1975282</t>
  </si>
  <si>
    <t xml:space="preserve">Pièce manquante BONJOUR, OF:1028871761 ROUTE 2M CDVE MSN 841 EN BRANCHANT LA PRISE 9KS J24 J'AI ENDOMMAGE LA PRISE ET LE RACCORD ARRIERE, IL ME FAUDRAIT LES REFERENCES EN3645-M6AN98BB ET ABS1896A09P MERCI</t>
  </si>
  <si>
    <t xml:space="preserve">OZ1975567</t>
  </si>
  <si>
    <t xml:space="preserve">Pièce manquante gromet abîmé merci sonia ou denis henri</t>
  </si>
  <si>
    <t xml:space="preserve">OZ1978157</t>
  </si>
  <si>
    <t xml:space="preserve">2026-04-21</t>
  </si>
  <si>
    <t xml:space="preserve">Bonjours , la prise 9KS J24 est manquante pour cause de prélèvement en TA pour le sous ensemble (l'autre prise ayant le backShell et la prise endommagé ) . Prise 9KS J24: Réf. équipement : EN3645-M6AN98BB , Réf. raccord : ABS1896A09P , MSN 854 , Route: 2M CDVE . Merci et Bonne Journée .</t>
  </si>
  <si>
    <t xml:space="preserve">OZ1982489</t>
  </si>
  <si>
    <t xml:space="preserve">2026-04-23</t>
  </si>
  <si>
    <t xml:space="preserve">Pièce manquante bonjour, premier aléa de la journée : 2 backshells défectueux!!! merci henri</t>
  </si>
  <si>
    <t xml:space="preserve">OZ1983530</t>
  </si>
  <si>
    <t xml:space="preserve">Pièce manquante peinture rayée merci</t>
  </si>
  <si>
    <t xml:space="preserve">OZ1990004</t>
  </si>
  <si>
    <t xml:space="preserve">2026-04-28</t>
  </si>
  <si>
    <t xml:space="preserve">Pourriez-vous nous donner le torquage de l'équipement cockpit loudspeaker 6989306500. Quand j'applique ce qui est demandé au plan dans la note, le joint s'abime</t>
  </si>
  <si>
    <t xml:space="preserve">OZ2000000</t>
  </si>
  <si>
    <t xml:space="preserve">2026-05-05</t>
  </si>
  <si>
    <t xml:space="preserve">Pièce manquante bonjour, backshells abîmés. merci henri</t>
  </si>
  <si>
    <t xml:space="preserve">OZ2006549</t>
  </si>
  <si>
    <t xml:space="preserve">2026-05-08</t>
  </si>
  <si>
    <t xml:space="preserve">Pièce manquante bonjour, le connecteur a une borne défectueuse. merci henri</t>
  </si>
  <si>
    <t xml:space="preserve">OZ2009259</t>
  </si>
  <si>
    <t xml:space="preserve">2026-05-12</t>
  </si>
  <si>
    <t xml:space="preserve">Projection work HS</t>
  </si>
  <si>
    <t xml:space="preserve">OZ2020204</t>
  </si>
  <si>
    <t xml:space="preserve">Pièce manquante Bonjour, Je me retrouve avec un backshell défectueux il me faut donc le remplacer, voici la référence: ABS1896C16E Je suis sur la Ligne 2 1M, merci et bonne journée. Matthieu.</t>
  </si>
  <si>
    <t xml:space="preserve">OZ2023031</t>
  </si>
  <si>
    <t xml:space="preserve">2026-05-21</t>
  </si>
  <si>
    <t xml:space="preserve">Pièce manquante Bonjour COMPOSANT HS: ABS2306E08FR1A1 Merci Bonne journée</t>
  </si>
  <si>
    <t xml:space="preserve">OZ2026746</t>
  </si>
  <si>
    <t xml:space="preserve">2026-05-22</t>
  </si>
  <si>
    <t xml:space="preserve">Pièce manquante Bonjour, OF:1029148442 MSN: 853 ROUTE 1R J'ai abimé la plaquette de la prise 1706VC001, PEUT ON LANCER UNE AUTRE IMPRESSION DE LA PLAQUETTE S'IL VOUS PLAIT? MERCI</t>
  </si>
  <si>
    <t xml:space="preserve">OZ2040010</t>
  </si>
  <si>
    <t xml:space="preserve">2026-06-01</t>
  </si>
  <si>
    <t xml:space="preserve">Pièce manquante connecteur abîmé merci henri</t>
  </si>
  <si>
    <t xml:space="preserve">OZ2040102</t>
  </si>
  <si>
    <t xml:space="preserve">Pièce manquante c'est aussi une vrai commande, backshell abîmé aussi, jespère que tu veras les 2 en même temps, on vient de me demander!!!! henri</t>
  </si>
  <si>
    <t xml:space="preserve">OZ2042978</t>
  </si>
  <si>
    <t xml:space="preserve">2026-06-02</t>
  </si>
  <si>
    <t xml:space="preserve">Pièce manquante Etiquette 1606VC002 déchirée. Merci d'en fournir une autre pour remise en conformité de la prise Camille</t>
  </si>
  <si>
    <t xml:space="preserve">OZ2043017</t>
  </si>
  <si>
    <t xml:space="preserve">Projecteur HS (projection works), temp perdu 1h15.</t>
  </si>
  <si>
    <t xml:space="preserve">OZ2056094</t>
  </si>
  <si>
    <t xml:space="preserve">Pièce manquante Etiquette collante 1608VC058A déchirée. Nouvelle étiquette collante nécessaire pour remise en conformité de la prise. Merci Camille</t>
  </si>
  <si>
    <t xml:space="preserve">OZ2063547</t>
  </si>
  <si>
    <t xml:space="preserve">Pièce manquante Bonjour Prise abimé et Backshell cassé Réf. équipement : EN3646A6083ABN Réf. raccord : ABS1896A08E</t>
  </si>
  <si>
    <t xml:space="preserve">OZ2063688</t>
  </si>
  <si>
    <t xml:space="preserve">Pièce manquante Prise et backshell cassé Réf. équipement : EN3646A6083ABN Réf. raccord : ABS1896A08</t>
  </si>
  <si>
    <t xml:space="preserve">OZ2081610</t>
  </si>
  <si>
    <t xml:space="preserve">2026-06-22</t>
  </si>
  <si>
    <t xml:space="preserve">Pièce manquante Bonjour, prise 1609VC002 abîmé route 1R MSN 864 prélevée sur le 865 Merci</t>
  </si>
  <si>
    <t xml:space="preserve">OZ2083624</t>
  </si>
  <si>
    <t xml:space="preserve">Pièce manquante abimé</t>
  </si>
  <si>
    <t xml:space="preserve">OZ2085402</t>
  </si>
  <si>
    <t xml:space="preserve">2026-06-23</t>
  </si>
  <si>
    <t xml:space="preserve">Pièce manquante Bonjour, les 2 backshells sont abîmés. merci henri</t>
  </si>
  <si>
    <t xml:space="preserve">OZ2088103</t>
  </si>
  <si>
    <t xml:space="preserve">Pièce manquante bonjour, le backshell est abimé. merci henri</t>
  </si>
  <si>
    <t xml:space="preserve">OZ2095038</t>
  </si>
  <si>
    <t xml:space="preserve">2026-06-29</t>
  </si>
  <si>
    <t xml:space="preserve">Pièce manquante Bonjour, Nous avons une prise rectangulaire: ABS2306E07FP1A6 (FIN: 1608VC021 A) endommagé sur MSN728, route 1S au poste de TEST 1. Pourriez vous nous fournir une nouvelle pour la remplacer. Merci Cordialement, Vanessa.</t>
  </si>
  <si>
    <t xml:space="preserve">OZ2097994</t>
  </si>
  <si>
    <t xml:space="preserve">Pièce manquante Bonjour, Nous avons une prise rectangulaire en endommagée Ref: ABS2306E04MP1B5, FIN: 1608VC109 A sur MSN856 route 1M, poste TEST 2. Pourriez vous nous commander une autre pour qu'on puis remise en conformité. Merci! Cordialement, Vanessa.</t>
  </si>
  <si>
    <t xml:space="preserve">OZ2101028</t>
  </si>
  <si>
    <t xml:space="preserve">Pièce manquante Prise rectangle gourmet abimé Réf. équipement : ABS2306E04MP1C5 Merci</t>
  </si>
  <si>
    <t xml:space="preserve">OZ2101101</t>
  </si>
  <si>
    <t xml:space="preserve">Projection Work HS disjoncteur placé à la main</t>
  </si>
  <si>
    <t xml:space="preserve">OZ2101576</t>
  </si>
  <si>
    <t xml:space="preserve">Pièce manquante prise Abimé Réf. équipement : ABS2306E04MP1C5 Merci</t>
  </si>
  <si>
    <t xml:space="preserve">OZ2106627</t>
  </si>
  <si>
    <t xml:space="preserve">2026-07-02</t>
  </si>
  <si>
    <t xml:space="preserve">Pièce manquante Bonjour, Merci de bien vouloir créer une NC pour une étiquette abîmée sur la platine V924.19534.000.00 (prises 7DG1/8DG1) L'étiquette de la 7DG1 étant abîmée le TL s'est chargé de faire un "snag sheet", J'ai prélevé la platine de la même réf sur le MIP 861 afin de ne pas être bloqué, En vous remerciant pour votre coopération,</t>
  </si>
  <si>
    <t xml:space="preserve">OZ2115066</t>
  </si>
  <si>
    <t xml:space="preserve">Pièce manquante Prise abime pendant le torquage</t>
  </si>
  <si>
    <t xml:space="preserve">OZ2149300</t>
  </si>
  <si>
    <t xml:space="preserve">2026-08-17</t>
  </si>
  <si>
    <t xml:space="preserve">Pièce manquante Bonjour prise abime 11CP1 J : Réf. équipement : EN3646A01210BW Réf. raccord : NSA938003-12 MERCI</t>
  </si>
  <si>
    <t xml:space="preserve">OZ2149757</t>
  </si>
  <si>
    <t xml:space="preserve">2026-08-18</t>
  </si>
  <si>
    <t xml:space="preserve">Pièce manquante L’approvisionnement du lot d’étiquettes de fonction pour le bac du MSN2169 a été livré incomplet et endommagé. Cet incident a généré une perte de temps liée à la recherche et à la résolution du problème, entraînant un décalage du planning de production.</t>
  </si>
  <si>
    <t xml:space="preserve">OZ2158108</t>
  </si>
  <si>
    <t xml:space="preserve">2026-08-21</t>
  </si>
  <si>
    <t xml:space="preserve">Pièce manquante BONJOUR RACCORD ABIMER MERCI</t>
  </si>
  <si>
    <t xml:space="preserve">OZ2179074</t>
  </si>
  <si>
    <t xml:space="preserve">Projection Work HS</t>
  </si>
  <si>
    <t xml:space="preserve">OZ2184224</t>
  </si>
  <si>
    <t xml:space="preserve">Pièce manquante BONJOUR PRISE ABIME MERCI CORDIALEMENT</t>
  </si>
  <si>
    <t xml:space="preserve">OZ2206511</t>
  </si>
  <si>
    <t xml:space="preserve">2026-09-14</t>
  </si>
  <si>
    <t xml:space="preserve">Bonjour Julien, L'OF 57633003, Réf. ABS2208AB01S, pièce abimée lors du montage. Vu avec la qualité, CT129 fait. Merci. Natalia</t>
  </si>
  <si>
    <t xml:space="preserve">OZ2233241</t>
  </si>
  <si>
    <t xml:space="preserve">Bonjour, Lors de la production, nous avons constaté une incohérence concernant le couple de serrage des supports VD. Le GR/SOI préconise une valeur de 0,25 daN.m, mais ce couple s'avère trop élevé : il provoque la casse de la visserie et détériore l'équipement. De son côté, Elec ABC préconise un serrage à 0,050 daN.m (bien que l'application ne serve pas de référence de couple mécanique, ce point m</t>
  </si>
  <si>
    <t xml:space="preserve">OZ1784141</t>
  </si>
  <si>
    <t xml:space="preserve">Pièce manquante Faire attention a la reappro car il y a un ordre de haut en bas entre les tresses car inversion merci</t>
  </si>
  <si>
    <t xml:space="preserve">OZ1790515</t>
  </si>
  <si>
    <t xml:space="preserve">Reprise TEST connecteurs inversés MSN 813 (9KSJ25, 9KSJ26) Explication a CIB pour intervention suite NC 216038266 MSN 811 Formation ARINC Lopez.L</t>
  </si>
  <si>
    <t xml:space="preserve">OZ1816566</t>
  </si>
  <si>
    <t xml:space="preserve">Reprise des auto-soudeurs (Mauvaise mise en œuvre) manque reprise de 15CM pour MEO Band-IT</t>
  </si>
  <si>
    <t xml:space="preserve">OZ1823170</t>
  </si>
  <si>
    <t xml:space="preserve">2026-01-28</t>
  </si>
  <si>
    <t xml:space="preserve">OF:1027542401 740VU MSN 2145 Reprise des retouches restante Changement de 4 disjoncteurs au mauvaise ampérage sur la ligne T, après vérification des disjoncteurs pour le test pour vérifier leur bon fonctionnement. Inversion des prises 701VD et 705VD et changement des étiquettes (montage a l'envers face avant montée face arrière et inversement) Reprise de 3XB a retorquer Temps perdue 3h</t>
  </si>
  <si>
    <t xml:space="preserve">OZ1838352</t>
  </si>
  <si>
    <t xml:space="preserve">Bonjour gamme si tout est bon op 10 20 25 1015,8IM MSN 823 Apres on est passé a 965,8 plus L OP 25 Et maintenant encore mieux MSN 846 924,1IM on a plus le temps du déballage chariot qui avait été rajouter par MR gousso il y a 1ans toujours moins de temps pour le meme travail on fait comment et quoi !!! on déballe plus ni inverser les modules VT de la OP25 On suit la gamme a partir de ce jour msn84</t>
  </si>
  <si>
    <t xml:space="preserve">OZ1850999</t>
  </si>
  <si>
    <t xml:space="preserve">2026-02-11</t>
  </si>
  <si>
    <t xml:space="preserve">Pièce manquante Inverseur manquant servitude</t>
  </si>
  <si>
    <t xml:space="preserve">OZ1866560</t>
  </si>
  <si>
    <t xml:space="preserve">2026-02-19</t>
  </si>
  <si>
    <t xml:space="preserve">Bonjour. OP 25 pour rattraper le erreur de montage de 500VT200 et 500VT202 manquant. Manque du temp sur la gamme pour complète tout.</t>
  </si>
  <si>
    <t xml:space="preserve">OZ1876937</t>
  </si>
  <si>
    <t xml:space="preserve">2026-02-25</t>
  </si>
  <si>
    <t xml:space="preserve">Lors du sertissage le Locator positionner mal le contact , ce qui a provoqué un mauvais sertissage sur un grand nombre de câbles. Le sertissage a du être refais. Temps perdu : 1H</t>
  </si>
  <si>
    <t xml:space="preserve">OZ1951324</t>
  </si>
  <si>
    <t xml:space="preserve">Méca : Mauvais montage. Je dois démonter une partie pour remettre en conformité.</t>
  </si>
  <si>
    <t xml:space="preserve">OZ1977493</t>
  </si>
  <si>
    <t xml:space="preserve">Pièce manquante On (JE :-) avait oublié le backshell merci</t>
  </si>
  <si>
    <t xml:space="preserve">OZ2005838</t>
  </si>
  <si>
    <t xml:space="preserve">Bonjour. Sur cette gamme 1028900579 MECA, on a deux OP 35 ET 40 qui je demande de inverse puis rajoute une troisième OP 45. OP 35 inverse avec la 40, et rajoute la OP 45 pour appliquer le bleu de métallisation. Merci et bonne journée</t>
  </si>
  <si>
    <t xml:space="preserve">OZ2038868</t>
  </si>
  <si>
    <t xml:space="preserve">MULTIPROGRAMME_A380</t>
  </si>
  <si>
    <t xml:space="preserve">1512 VU , MSN 0220, OF: 57527439 MANQUE - 1 INVERSEUR ASNE0062B0S4BA0A</t>
  </si>
  <si>
    <t xml:space="preserve">OZ2081552</t>
  </si>
  <si>
    <t xml:space="preserve">Pièce manquante 215VU : Inversion d'un switch E0062D1S4BJ0A (demandé) avec un switch E0062A0S4BJ0A (reçu)</t>
  </si>
  <si>
    <t xml:space="preserve">OZ2138837</t>
  </si>
  <si>
    <t xml:space="preserve">2026-07-22</t>
  </si>
  <si>
    <t xml:space="preserve">Pour le 130VU, OF: 57586571 Manque 1 inverseur ASNE0062D1S4BA0A</t>
  </si>
  <si>
    <t xml:space="preserve">OZ2149779</t>
  </si>
  <si>
    <t xml:space="preserve">Bonjour Sur l'OF il y a l'opération 140 : Sertir 20TC.2.A Sur la S.O.I, l'Opération 140 correspond au BUSCAN et non à la 20TC, qui est d'ailleurs totalement absente de la S.O.I Un simple oubli je pense Bonne journée</t>
  </si>
  <si>
    <t xml:space="preserve">OZ2217046</t>
  </si>
  <si>
    <t xml:space="preserve">Suite a mauvaise mise en œuvre une flamme de positionnement a été oubliée sur le le route 2M. Suite a cette oubliée je repris la route pour installer la flamme manquant et après mise en conformité.</t>
  </si>
  <si>
    <t xml:space="preserve">OZ2225092</t>
  </si>
  <si>
    <t xml:space="preserve">Mauvais sertissage férules ISSF 4008: 1 heure pour moi pour l'organisation. 4 heures pour Cécile pour avoir rattrapé les férules.</t>
  </si>
  <si>
    <t xml:space="preserve">OZ2229918</t>
  </si>
  <si>
    <t xml:space="preserve">Bonjour, lors de la fabrication de la porte 742VU, lors de la pose des étiquettes « full conf », nous avons constaté une inversion symétrique (en miroir) des FIN. Exemples : Le FIN 38JY (prévu en A64) se retrouve en A80. Le FIN 17HA1 (prévu en A80) se retrouve en A64. Pourriez-vous analyser l'origine de ce dysfonctionnement afin d’éviter qu'il ne se reproduise sur les prochains MSN ? Merci d'avanc</t>
  </si>
  <si>
    <t xml:space="preserve">OZ2247822</t>
  </si>
  <si>
    <t xml:space="preserve">Pièce manquante Bonjour, Route 1R : Inversion de Backshell et connecteur. Référence présente dans le chariot, prise 411VC005A, connecteur (EN3645_M0CN98AN), backshell (ABS2216C13P). Il faut pour cette prise, connecteur (EN3645_M6CN98BA), backshell (ABS2216A13P), ces références là correspondent à la prise 1706VC001. Il y'a également la même inversion sur la route 2R, entre les prises 412VC006 A et </t>
  </si>
  <si>
    <t xml:space="preserve">OZ1905365</t>
  </si>
  <si>
    <t xml:space="preserve">OF : 1028348137 MSN : 840 Etiquette repère non conforme écriture non centré prise : 11CP1 D . Etiquette repère 100VN220 manquant . Merci bonne journée .</t>
  </si>
  <si>
    <t xml:space="preserve">OZ2023748</t>
  </si>
  <si>
    <t xml:space="preserve">Bonjour, sur les 2S, les plaquettes de la 100VN220, qui avaient été réimprimées car non conformes dans la dernière livraison, sont épuisées. peut-on relancer un ordre de fabrication pour en réimprimer 10 ou 20? merci Henri</t>
  </si>
  <si>
    <t xml:space="preserve">OZ2023864</t>
  </si>
  <si>
    <t xml:space="preserve">Bonjour, sur les 2S, les 100VN220, les plaquettes E0248A1-4H22, qui avaient été réimprimées car non conformes dans le dernier lot livré, sont épuisées. Peut-on refaire un OF pour en réimprimer? merci Henri</t>
  </si>
  <si>
    <t xml:space="preserve">OZ2027028</t>
  </si>
  <si>
    <t xml:space="preserve">RMAX A330 OF 57541030 PN 878-95 Serait-il possible de calquer les SOI Impression et Prod du F900.00954.879.95 sur celle du F900.00954.878.95 ? En effet, une modification a été faite sur le 878-95 pour ajouter une surlongueur au DR20 pour les besoin du test mais pas sur le 879-95 alors qu'il s'agit des mêmes produits. De plus cela évitera les erreurs de coupes de la surlongueur après test sur le ma</t>
  </si>
  <si>
    <t xml:space="preserve">OZ2071796</t>
  </si>
  <si>
    <t xml:space="preserve">Arrivée sur la ligne, les postes MFRL et qualité MFRL étaient utilisés. J'ai cherché sur la ligne à quel endroit je pouvais aider un collègue. J'ai finalement aidé au E-rudder en attendant que Lucas libère le poste MFRL. Une fois le poste libéré, je me suis ensuite occupée de refaire un harnais suite à une NC sur le MSN 13717 pour me rendre compte au moment de la finition qu'il y avait eu une erre</t>
  </si>
  <si>
    <t xml:space="preserve">OZ2076935</t>
  </si>
  <si>
    <t xml:space="preserve">OF NON CONFORME DOSSIER SUR GAMME DE FABRICATION (SUR 4717, il y a des feuilles du 4714 et 4716)</t>
  </si>
  <si>
    <t xml:space="preserve">OZ2076960</t>
  </si>
  <si>
    <t xml:space="preserve">OF NON CONFORME DOSSIER SUR GAMME DE FABRICATION (SUR 4716, il y a des documents du VTP au lieu du T.A harnais])</t>
  </si>
  <si>
    <t xml:space="preserve">OZ2077052</t>
  </si>
  <si>
    <t xml:space="preserve">Dossier non conforme indice A0 mélangé avec dossier de l'indice A02 dans le même dossier</t>
  </si>
  <si>
    <t xml:space="preserve">OZ2088219</t>
  </si>
  <si>
    <t xml:space="preserve">Gamme 4714 VB VTP INDICE NON CONFORME A1 AU LIEU DE A2</t>
  </si>
  <si>
    <t xml:space="preserve">OZ2117955</t>
  </si>
  <si>
    <t xml:space="preserve">OZ2147477</t>
  </si>
  <si>
    <t xml:space="preserve">Bonjour, lors du rattrapages des non conformités observé par la qualité, l'un des problèmes remontés est une vis trop courte n'allant pas au bout de l'hélicoil</t>
  </si>
  <si>
    <t xml:space="preserve">OZ2147502</t>
  </si>
  <si>
    <t xml:space="preserve">Bonjour, Lors du rattrapage des non-conformités relevées par la Qualité, une réserve a été émise concernant une vis jugée trop courte, n'atteignant pas le fond de l'Hélicoil. Cependant, après vérification du plan F925-13982 (Vue suivant G), la référence spécifiée est bien une vis NAS1096-3-10, strictement identique à celle installée sur le meuble en production. Pourriez-vous nous éclairer sur la m</t>
  </si>
  <si>
    <t xml:space="preserve">OZ2147695</t>
  </si>
  <si>
    <t xml:space="preserve">Etiquettes fin CDVE non conforme</t>
  </si>
  <si>
    <t xml:space="preserve">M2. Rework orders that name an NC we do not have (September 2026)</t>
  </si>
  <si>
    <t xml:space="preserve">Their text says 'Suite à la NC 2183…' but that NC is in neither the 2026 dashboard export nor the 2025 file: probably outside the dashboard scope.</t>
  </si>
  <si>
    <t xml:space="preserve">Look up each NC in Skywise: plant, liability and user_department. If they are ERMA NCs or NCs of other plants where FTO2 is not liable, they are out of scope as decided. If FTO2 is liable, our NC export misses them.</t>
  </si>
  <si>
    <t xml:space="preserve">NC named</t>
  </si>
  <si>
    <t xml:space="preserve">Plant of the NC</t>
  </si>
  <si>
    <t xml:space="preserve">Liability</t>
  </si>
  <si>
    <t xml:space="preserve">Written by (ERMA?)</t>
  </si>
  <si>
    <t xml:space="preserve">1030502425</t>
  </si>
  <si>
    <t xml:space="preserve">217923362</t>
  </si>
  <si>
    <t xml:space="preserve">Analyse dossier || Localisation : Soute 1, zone mixeur RH - Localisation : Soute 1, zone mixeur RH - C44 Suite à changement tuyauterie V212.15679.004 par la FAL, veuillez remonter les TT373 suivant NSI V8902064000000-133-000-A0 219ZCA975 (P27/31) 219</t>
  </si>
  <si>
    <t xml:space="preserve">1030281134</t>
  </si>
  <si>
    <t xml:space="preserve">217751942</t>
  </si>
  <si>
    <t xml:space="preserve">ATTESTATION DE CONFORMITE || CONTROLE / POSTE NEUTRE || AR 217751942 - DEPLACEMENT PALETTE POS 2 AR 217751942 - DEPLACEMENT PALETTE POS 2 / (06/07/2026) Veuillez déplacer la palette FTI (Soute 1) en position 1. Vérifier l'environnement (harnais/cable</t>
  </si>
  <si>
    <t xml:space="preserve">1030765521</t>
  </si>
  <si>
    <t xml:space="preserve">218091347</t>
  </si>
  <si>
    <t xml:space="preserve">ATTESTATION DE CONFORMITE || CONTROLER || Analyse dossier: Analyse dossier: Localisation : Frame 44/45 Stringer 41 right hand side Voir documents joints. Merci de rectifier. Voir documents joints, NC218091347. || Descendre position du collier Descend</t>
  </si>
  <si>
    <t xml:space="preserve">1031250059</t>
  </si>
  <si>
    <t xml:space="preserve">218357020</t>
  </si>
  <si>
    <t xml:space="preserve">1031020288</t>
  </si>
  <si>
    <t xml:space="preserve">875</t>
  </si>
  <si>
    <t xml:space="preserve">218266456</t>
  </si>
  <si>
    <t xml:space="preserve">1031000235</t>
  </si>
  <si>
    <t xml:space="preserve">218247239</t>
  </si>
  <si>
    <t xml:space="preserve">Contrôle du KIT(s) avant le départ pour Contrôle du KIT(s) avant le départ pour Montoir-de-Bretagne Suite à la NC 218247239, veuillez cibtrôler le KIT avant le départ pour Montoir de bretagne suivant la demande effectuer au Kitting Factory OLME et le</t>
  </si>
  <si>
    <t xml:space="preserve">1030828626</t>
  </si>
  <si>
    <t xml:space="preserve">218143463</t>
  </si>
  <si>
    <t xml:space="preserve">Attestation de conformité || Inspection Qualité || Remise en conformités du câble Remise en conformités du câble Effectuer le branchement du câble en tête A suivant les informations de la définition sur ElecABC/NIICE. Cheminer le câble vers la tête B</t>
  </si>
  <si>
    <t xml:space="preserve">1031268173</t>
  </si>
  <si>
    <t xml:space="preserve">218429025</t>
  </si>
  <si>
    <t xml:space="preserve">Imprimer étiquettes Imprimer étiquettes Suite à la NC 218429025, veuillez imprimer les étiquettes suivant la demande effectuer au Kitting Factory OLME et les informations ci-dessous : Désignation / Quantité /,, FIN E0248A2-6H4T 1 ESS 2M, 2MF 2MG, 2MN</t>
  </si>
  <si>
    <t xml:space="preserve">1031249183</t>
  </si>
  <si>
    <t xml:space="preserve">218421807</t>
  </si>
  <si>
    <t xml:space="preserve">Contrôle du câble Contrôle du câble Suite à la NC 218421807, veuillez débiter le câble suivant les informations ci-dessous : Type de câble / Quantité /,,Numéro de câble / Long (cm),, VNB24 1 2351-0680 180 || Débiter câble laser Débiter câble laser Su</t>
  </si>
  <si>
    <t xml:space="preserve">1031233848</t>
  </si>
  <si>
    <t xml:space="preserve">218415444</t>
  </si>
  <si>
    <t xml:space="preserve">NC CABLE - Contrôle du câble NC CABLE - Contrôle du câble Suite à la NC 218415444, veuillez contrôler le câble et le manchons suivant les informations ci-dessous : Type de câble / Quantité /,,Numéro de câble / Long (cm),, WX26 1 3161-0347 240 Type de</t>
  </si>
  <si>
    <t xml:space="preserve">1030903330</t>
  </si>
  <si>
    <t xml:space="preserve">218186517</t>
  </si>
  <si>
    <t xml:space="preserve">Attestation de conformité || Inspection Qualité || NC CABLE - Remise en conformité des câbl NC CABLE - Remise en conformité des câbles si SSTT Effectuer les sertissages du câble en tête A suivant les informations de la définition sur ElecABC/NIICE. E</t>
  </si>
  <si>
    <t xml:space="preserve">1030884473</t>
  </si>
  <si>
    <t xml:space="preserve">218177756</t>
  </si>
  <si>
    <t xml:space="preserve">Attestation de conformité || NC CABLE - Préparation travail/Analyse d NC CABLE - Préparation travail/Analyse du dossier || Inspection Qualité || NC CABLE - CONTROLER SERTISSAGE CDVE TA || NC CABLE - Remise en conformité du câble NC CABLE - Remise en </t>
  </si>
  <si>
    <t xml:space="preserve">1030865442</t>
  </si>
  <si>
    <t xml:space="preserve">218161820</t>
  </si>
  <si>
    <t xml:space="preserve">Attestation de conformité || Inspection Qualité || NC CABLE - Remise en conformité du câble NC CABLE - Remise en conformité du câble Effectuer le branchement du câbles en tête A suivant les informations de la définition sur ElecABC/NIICE. S'appuyer d</t>
  </si>
  <si>
    <t xml:space="preserve">1030828260</t>
  </si>
  <si>
    <t xml:space="preserve">218143176</t>
  </si>
  <si>
    <t xml:space="preserve">1030818922</t>
  </si>
  <si>
    <t xml:space="preserve">218133229</t>
  </si>
  <si>
    <t xml:space="preserve">Attestation de conformité || Inspection Qualité || NC CABLE - Remise en conformité du câble NC CABLE - Remise en conformité du câble Effectuer les sertissages du câble en tête A suivant les informations de la définition sur ElecABC/NIICE. Effectuer l</t>
  </si>
  <si>
    <t xml:space="preserve">1030916194</t>
  </si>
  <si>
    <t xml:space="preserve">218198410</t>
  </si>
  <si>
    <t xml:space="preserve">Inspection Qualité || Attestation de conformité || Remise en conformités du câble Remise en conformités du câble Effectuer le sertissage du câble en tête A et tête B suivant les informations de la définition sur ElecABC/NIICE. Effectuer le branchemen</t>
  </si>
  <si>
    <t xml:space="preserve">1031044284</t>
  </si>
  <si>
    <t xml:space="preserve">218288865</t>
  </si>
  <si>
    <t xml:space="preserve">NC CABLE - Contrôle du câble NC CABLE - Contrôle du câble Suite à la NC 218288865, veuillez contrôler le câble le monter manchons suivant les informations ci-dessous : Type de câble / Quantité /,,Numéro de câble / Long (cm),, WX26 1 3161-0359 350 Typ</t>
  </si>
  <si>
    <t xml:space="preserve">1031147549</t>
  </si>
  <si>
    <t xml:space="preserve">218351628</t>
  </si>
  <si>
    <t xml:space="preserve">Contrôle des câbles et manchons Contrôle des câbles et manchons Suite à la NC 218351628, veuillez contrôler les câbles et manchons suivant les informations ci-dessous : Type de câble / Quantité /,,Numéro de câble / Long (cm),, ADB24 1 2792-0773 600 T</t>
  </si>
  <si>
    <t xml:space="preserve">1031148873</t>
  </si>
  <si>
    <t xml:space="preserve">218359357</t>
  </si>
  <si>
    <t xml:space="preserve">Contrôle des câbles et manchons Contrôle des câbles et manchons Suite à la NC 218359357, veuillez contrôler les câbles et manchons suivant les informations ci-dessous : Type de câble / Quantité /,,Numéro de câble / Long (cm),, ADB24 1 2724-0118 702 T</t>
  </si>
  <si>
    <t xml:space="preserve">1031044211</t>
  </si>
  <si>
    <t xml:space="preserve">218288729</t>
  </si>
  <si>
    <t xml:space="preserve">Inspection Qualité || Inspection avant la clôture de l'OF || Contrôle des câbles Contrôle des câbles Suite à la NC 218288729 , veuillez contrôler les câbles laser suivant les informations ci-dessous : Type de câble / Quantité /,,Numéro de câble / Lon</t>
  </si>
  <si>
    <t xml:space="preserve">1031065655</t>
  </si>
  <si>
    <t xml:space="preserve">218296354</t>
  </si>
  <si>
    <t xml:space="preserve">Inspection avant la clôture de l'OF || Inspection Qualité || Contrôle des câbles Contrôle des câbles Suite à la NC 218296354 , veuillez contrôler le câble laser suivant les informations ci-dessous : Type de câble / Quantité /,,Numéro de câble / Long </t>
  </si>
  <si>
    <t xml:space="preserve">1031249038</t>
  </si>
  <si>
    <t xml:space="preserve">218421600</t>
  </si>
  <si>
    <t xml:space="preserve">Débiter câble + monter manchons Débiter câble + monter manchons Suite à la NC 218421600, veuillez débiter le câble et monter manchons suivant les informations ci-dessous : Type de câble / Quantité /,,Numéro de câble / Long (cm),, ADB24 1 2792-0906 66</t>
  </si>
  <si>
    <t xml:space="preserve">1031001044</t>
  </si>
  <si>
    <t xml:space="preserve">218256125</t>
  </si>
  <si>
    <t xml:space="preserve">Inspection avant la clôture de l'OF || Inspection Qualité || Contrôle du câble Contrôle du câble Suite à la NC 218256125, veuillez contrôler le câble laser suivant les informations ci-dessous : Type de câble / Quantité /,,Numéro de câble / Long (cm),</t>
  </si>
  <si>
    <t xml:space="preserve">1030937451</t>
  </si>
  <si>
    <t xml:space="preserve">218214765</t>
  </si>
  <si>
    <t xml:space="preserve">Inspection avant la clôture de l'OF || Inspection Qualité || Contrôle du câble Contrôle du câble Suite à la NC 218214765, veuillez contrôler le câble laser ou le câble manchonné suivant les informations ci-dessous : Type de câble / Quantité /,,Numéro</t>
  </si>
  <si>
    <t xml:space="preserve">1031042230</t>
  </si>
  <si>
    <t xml:space="preserve">218279803</t>
  </si>
  <si>
    <t xml:space="preserve">Inspection Qualité || Inspection avant la clôture de l'OF || Préparation travail/Analyse du dossier || Imprimer câble laser Imprimer câble laser Suite à la NC 218279803, veuillez imprimer le câble laser suivant les informations ci-dessous : Type de c</t>
  </si>
  <si>
    <t xml:space="preserve">1031001118</t>
  </si>
  <si>
    <t xml:space="preserve">218256502</t>
  </si>
  <si>
    <t xml:space="preserve">Inspection avant la clôture de l'OF || Inspection Qualité || Contrôle du câble Contrôle du câble Suite à la NC 218256502, veuillez contrôler le câble laser suivant les informations ci-dessous : Type de câble / Quantité /,,Numéro de câble / Long (cm),</t>
  </si>
  <si>
    <t xml:space="preserve">1031001226</t>
  </si>
  <si>
    <t xml:space="preserve">218256506</t>
  </si>
  <si>
    <t xml:space="preserve">Inspection avant la clôture de l'OF || Inspection Qualité || Contrôle du câble Contrôle du câble Suite à la NC 218256506, veuillez contrôler le câble laser suivant les informations ci-dessous : Type de câble / Quantité /,,Numéro de câble / Long (cm),</t>
  </si>
  <si>
    <t xml:space="preserve">1031020501</t>
  </si>
  <si>
    <t xml:space="preserve">218266901</t>
  </si>
  <si>
    <t xml:space="preserve">Inspection Qualité || Inspection avant la clôture de l'OF || Contrôle du câble Contrôle du câble Suite à la NC 218266901, veuillez contrôler le câble laser ou le câble manchonné suivant les informations ci-dessous : Type de câble / Quantité /,,Numéro</t>
  </si>
  <si>
    <t xml:space="preserve">1030986166</t>
  </si>
  <si>
    <t xml:space="preserve">218243719</t>
  </si>
  <si>
    <t xml:space="preserve">Inspection avant la clôture de l'OF || Inspection Qualité || Contrôle du câble Contrôle du câble Suite à la NC 218243719, veuillez contrôler le câble laser ou le câble manchonné suivant les informations ci-dessous : Type de câble / Quantité /,,Numéro</t>
  </si>
  <si>
    <t xml:space="preserve">1030986495</t>
  </si>
  <si>
    <t xml:space="preserve">218243467</t>
  </si>
  <si>
    <t xml:space="preserve">Inspection avant la clôture de l'OF || Inspection Qualité || Contrôle du câble Contrôle du câble Suite à la NC 218243467, veuillez contrôler le câble laser ou le câble manchonné suivant les informations ci-dessous : Type de câble / Quantité /,,Numéro</t>
  </si>
  <si>
    <t xml:space="preserve">1030986612</t>
  </si>
  <si>
    <t xml:space="preserve">218244963</t>
  </si>
  <si>
    <t xml:space="preserve">Inspection Qualité || Inspection avant la clôture de l'OF || Contrôle du câble Contrôle du câble Suite à la NC 218244963, veuillez contrôler le câble laser ou le câble manchonné suivant les informations ci-dessous : Type de câble / Quantité /,,Numéro</t>
  </si>
  <si>
    <t xml:space="preserve">1031102822</t>
  </si>
  <si>
    <t xml:space="preserve">218326030</t>
  </si>
  <si>
    <t xml:space="preserve">Inspection Qualité || Inspection avant la clôture de l'OF || Contrôle du câble Contrôle du câble Suite à la NC 218326030, veuillez contrôler le câble laser ou le câble manchonné suivant les informations ci-dessous : Type de câble / Quantité /,,Numéro</t>
  </si>
  <si>
    <t xml:space="preserve">1031194678</t>
  </si>
  <si>
    <t xml:space="preserve">218391202</t>
  </si>
  <si>
    <t xml:space="preserve">Inspection avant la clôture de l'OF || Inspection Qualité || Contrôle du câble Contrôle du câble Suite à la NC 218391202, veuillez imprimer le câble laser suivant les informations ci-dessous : Type de câble / Quantité /,,Numéro de câble / Long (cm),,</t>
  </si>
  <si>
    <t xml:space="preserve">1031187911</t>
  </si>
  <si>
    <t xml:space="preserve">218385786</t>
  </si>
  <si>
    <t xml:space="preserve">Inspection avant la clôture de l'OF || Inspection Qualité || Contrôle du câble Contrôle du câble Suite à la NC 218385786, veuillez contrôler le câble laser ou le câble manchonné suivant les informations ci-dessous : Type de câble / Quantité /,,Numéro</t>
  </si>
  <si>
    <t xml:space="preserve">1031147699</t>
  </si>
  <si>
    <t xml:space="preserve">218353119</t>
  </si>
  <si>
    <t xml:space="preserve">Inspection avant la clôture de l'OF || Inspection Qualité || Contrôle du câble Contrôle du câble Suite à la NC 218353119, veuillez contrôler le câble laser ou le câble manchonné suivant les informations ci-dessous : Type de câble / Quantité /,,Numéro</t>
  </si>
  <si>
    <t xml:space="preserve">1031103224</t>
  </si>
  <si>
    <t xml:space="preserve">218326319</t>
  </si>
  <si>
    <t xml:space="preserve">Contrôle du câble Contrôle du câble Suite à la NC 218326319, veuillez contrôler le câble laser ou le câble manchonné suivant les informations ci-dessous : Type de câble / Quantité /,,Numéro de câble / Long (cm),, DR24 1 4612-0219 143 || Imprimer câbl</t>
  </si>
  <si>
    <t xml:space="preserve">1031083240</t>
  </si>
  <si>
    <t xml:space="preserve">218314558</t>
  </si>
  <si>
    <t xml:space="preserve">Contrôle des câbles Contrôle des câbles Suite à la NC 218314558 , veuillez contrôler le câble laser suivant les informations ci-dessous : Type de câble / Quantité /,,Numéro de câble / Long (cm),, AD24 1 4612-0101 350 || Imprimer câbles laser Imprimer</t>
  </si>
  <si>
    <t xml:space="preserve">1031236192</t>
  </si>
  <si>
    <t xml:space="preserve">218416044</t>
  </si>
  <si>
    <t xml:space="preserve">Contrôle du câble Contrôle du câble Suite à la NC 218416044, veuillez contrôler le câble laser ou le câble manchonné suivant les informations ci-dessous : Type de câble / Quantité /,,Numéro de câble / Long (cm),, DR24 1 2792-0997 164 || Imprimer câbl</t>
  </si>
  <si>
    <t xml:space="preserve">1031199862</t>
  </si>
  <si>
    <t xml:space="preserve">218396217</t>
  </si>
  <si>
    <t xml:space="preserve">Contrôle du câble Contrôle du câble Suite à la NC 218396217, veuillez contrôler le câble laser suivant les informations ci-dessous : Type de câble / Quantité /,,Numéro de câble / Long (cm),, DR14 1 3161-0007 450 || Imprimer câble laser Imprimer câble</t>
  </si>
  <si>
    <t xml:space="preserve">1031216847</t>
  </si>
  <si>
    <t xml:space="preserve">218403302</t>
  </si>
  <si>
    <t xml:space="preserve">Contrôle du câble Contrôle du câble Suite à la NC 218403302, veuillez contrôler le câble laser ou le câble manchonné suivant les informations ci-dessous : Type de câble / Quantité /,,Numéro de câble / Long (cm),, VNA24 1 2799-0008 549 || Imprimer câb</t>
  </si>
  <si>
    <t xml:space="preserve">M3. Exceptional NCs (to check yourself; not for the presentation)</t>
  </si>
  <si>
    <t xml:space="preserve">Reworked NCs whose rework order plans at least 3 h and more than 2.5 times the model's rework time (September 2026 orders).</t>
  </si>
  <si>
    <t xml:space="preserve">NC 218233692 ('Câbles non lasérisés') is one defect line for the model but its order plans 34 h of reprinting cables for six routes. The three others have no defect line found by the parser, so the model uses a flat 1 hour. Check whether the planned time is right and whether such NCs should be costed from their order.</t>
  </si>
  <si>
    <t xml:space="preserve">Defect lines (parser)</t>
  </si>
  <si>
    <t xml:space="preserve">Planned rework (h)</t>
  </si>
  <si>
    <t xml:space="preserve">Model rework (h)</t>
  </si>
  <si>
    <t xml:space="preserve">218233692</t>
  </si>
  <si>
    <t xml:space="preserve">rical Assembly Installation * Sur la ligne A350 , poste tête A , nous avons constaté qu'aucun câble n'était lasérisé sur les WF201 / WF311 / WF312. Nous demandons le remplacement des câbles non lasérisés. Les câbles étaient manquants sur le MSN 876 et ont été prélevés sur le 878 avec l'accord du ME.</t>
  </si>
  <si>
    <t xml:space="preserve">218172558</t>
  </si>
  <si>
    <t xml:space="preserve">Câbles trop court Route 11M</t>
  </si>
  <si>
    <t xml:space="preserve">218282208</t>
  </si>
  <si>
    <t xml:space="preserve">RETOUCHES 300 VU MSN 164</t>
  </si>
  <si>
    <t xml:space="preserve">218338931</t>
  </si>
  <si>
    <t xml:space="preserve">RETOUCHES TEST MIP 400M MSN 166</t>
  </si>
  <si>
    <t xml:space="preserve">Kept for later, and points to keep in mind</t>
  </si>
  <si>
    <t xml:space="preserve">Not for tomorrow's checks, but not to forget.</t>
  </si>
  <si>
    <t xml:space="preserve">Item</t>
  </si>
  <si>
    <t xml:space="preserve">Detail</t>
  </si>
  <si>
    <t xml:space="preserve">Change 5 (kept for later)</t>
  </si>
  <si>
    <t xml:space="preserve">Two defect classes produced by parser v4.8 are missing from the CNQ time table and get the 10-min default: 'Mesure hors tolérance' (~25 lines a year) and 'Dommage – tresse de masse' (2-3 lines). Proposal: give them the time of 'Point de masse / mesure' (5 min) and 'Dommage – câble' (30 min). Effect: almost 0 EUR.</t>
  </si>
  <si>
    <t xml:space="preserve">Point to keep in mind: alert on customer returns</t>
  </si>
  <si>
    <t xml:space="preserve">By the 'direct cause' rule, the customer's own operator alert should count too. Change 3 removed the alert from customer returns; putting it back adds 25 EUR per return (69 returns in 2026, about 1,700 EUR). Decide with H3.</t>
  </si>
  <si>
    <t xml:space="preserve">Point to keep in mind: flat 30-min alert</t>
  </si>
  <si>
    <t xml:space="preserve">Aléas that led to an NC declare on average 41 min lost (median 30). The NC cost uses a flat 30 min. When the disruption link is in the pipeline, the declared time can replace it.</t>
  </si>
  <si>
    <t xml:space="preserve">Point to keep in mind: 4 final-inspection NCs with an aléa</t>
  </si>
  <si>
    <t xml:space="preserve">4 final-inspection NCs did start with a quality aléa (4.6 h) but get no alert step since change 3, and are not in the disruption block either. Small; fixed when the disruption link is in the pipeline.</t>
  </si>
  <si>
    <t xml:space="preserve">Point to keep in mind: responders' time</t>
  </si>
  <si>
    <t xml:space="preserve">Disruption 'time lost' is the operator's time only. The time of the people who answer the aléa (quality, technical support, logistics) is not counted anywhere.</t>
  </si>
  <si>
    <t xml:space="preserve">Point to keep in mind: periods</t>
  </si>
  <si>
    <t xml:space="preserve">The disruption block covers Jan-Sep 2026 only (no 2025 disruptions in the data). The NC cost for 2026 is quoted for Feb-Sep because January is cut in the NC export.</t>
  </si>
  <si>
    <t xml:space="preserve">Low: MSN 700/701 work (IEVB work centres)</t>
  </si>
  <si>
    <t xml:space="preserve">74 rework orders, 217 h in September on MSN 700/701 (e.g. 'Repose FTI sur bouteille oxy'). Confirm it is flight-test installation and out of scope.</t>
  </si>
  <si>
    <t xml:space="preserve">After the presentation</t>
  </si>
  <si>
    <t xml:space="preserve">Full year of rework orders (re-check 15 min per connection error and x2 on internal NCs; use planned time per NC in the pipeline). Quality-team time sheets for every month. Repair cost of customer returns from TOF / FNZ1 / FFF1. Euros already booked by Finance on rework orders. Disruption link (work order + 72 h) in the pipeline.</t>
  </si>
</sst>
</file>

<file path=xl/styles.xml><?xml version="1.0" encoding="utf-8"?>
<styleSheet xmlns="http://schemas.openxmlformats.org/spreadsheetml/2006/main">
  <numFmts count="6">
    <numFmt numFmtId="164" formatCode="General"/>
    <numFmt numFmtId="165" formatCode="0.00"/>
    <numFmt numFmtId="166" formatCode="#,##0"/>
    <numFmt numFmtId="167" formatCode="#,##0.0"/>
    <numFmt numFmtId="168" formatCode="0.0"/>
    <numFmt numFmtId="169"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sz val="10"/>
      <color rgb="FF0000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F2CC"/>
        <bgColor rgb="FFE2EFDA"/>
      </patternFill>
    </fill>
    <fill>
      <patternFill patternType="solid">
        <fgColor rgb="FFFFE699"/>
        <bgColor rgb="FFFFF2CC"/>
      </patternFill>
    </fill>
    <fill>
      <patternFill patternType="solid">
        <fgColor rgb="FFE2EFDA"/>
        <bgColor rgb="FFD9E1F2"/>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6" fillId="7"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9" fontId="6" fillId="7"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7"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CNQ_investigation_checklist.xlsx" TargetMode="External"/><Relationship Id="rId2" Type="http://schemas.openxmlformats.org/officeDocument/2006/relationships/hyperlink" Target="CNQ_investigation_checklist.xlsx" TargetMode="External"/><Relationship Id="rId3" Type="http://schemas.openxmlformats.org/officeDocument/2006/relationships/hyperlink" Target="CNQ_investigation_checklist.xlsx" TargetMode="External"/><Relationship Id="rId4" Type="http://schemas.openxmlformats.org/officeDocument/2006/relationships/hyperlink" Target="CNQ_investigation_checklist.xlsx" TargetMode="External"/><Relationship Id="rId5" Type="http://schemas.openxmlformats.org/officeDocument/2006/relationships/hyperlink" Target="CNQ_investigation_checklist.xlsx" TargetMode="External"/><Relationship Id="rId6" Type="http://schemas.openxmlformats.org/officeDocument/2006/relationships/hyperlink" Target="CNQ_investigation_checklist.xlsx" TargetMode="External"/><Relationship Id="rId7" Type="http://schemas.openxmlformats.org/officeDocument/2006/relationships/hyperlink" Target="CNQ_investigation_checklist.xlsx" TargetMode="External"/><Relationship Id="rId8" Type="http://schemas.openxmlformats.org/officeDocument/2006/relationships/hyperlink" Target="CNQ_investigation_checklist.xlsx" TargetMode="External"/><Relationship Id="rId9" Type="http://schemas.openxmlformats.org/officeDocument/2006/relationships/hyperlink" Target="CNQ_investigation_checklist.xlsx" TargetMode="External"/><Relationship Id="rId10" Type="http://schemas.openxmlformats.org/officeDocument/2006/relationships/hyperlink" Target="CNQ_investigation_checklist.xlsx" TargetMode="External"/><Relationship Id="rId11" Type="http://schemas.openxmlformats.org/officeDocument/2006/relationships/hyperlink" Target="CNQ_investigation_checklist.xlsx" TargetMode="External"/><Relationship Id="rId12" Type="http://schemas.openxmlformats.org/officeDocument/2006/relationships/hyperlink" Target="CNQ_investigation_checklist.xlsx" TargetMode="External"/><Relationship Id="rId13" Type="http://schemas.openxmlformats.org/officeDocument/2006/relationships/hyperlink" Target="CNQ_investigation_checklist.xlsx" TargetMode="External"/><Relationship Id="rId1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row>
    <row r="8" customFormat="false" ht="15" hidden="false" customHeight="false" outlineLevel="0" collapsed="false">
      <c r="A8" s="3"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row>
    <row r="14" customFormat="false" ht="15" hidden="false" customHeight="false" outlineLevel="0" collapsed="false">
      <c r="A14" s="3" t="s">
        <v>10</v>
      </c>
    </row>
    <row r="15" customFormat="false" ht="23.85" hidden="false" customHeight="false" outlineLevel="0" collapsed="false">
      <c r="A15" s="4" t="s">
        <v>11</v>
      </c>
    </row>
    <row r="16" customFormat="false" ht="15" hidden="false" customHeight="false" outlineLevel="0" collapsed="false">
      <c r="A16" s="4" t="s">
        <v>12</v>
      </c>
    </row>
    <row r="17" customFormat="false" ht="23.85" hidden="false" customHeight="false" outlineLevel="0" collapsed="false">
      <c r="A17" s="4" t="s">
        <v>13</v>
      </c>
    </row>
    <row r="18" customFormat="false" ht="15" hidden="false" customHeight="false" outlineLevel="0" collapsed="false">
      <c r="A18"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34"/>
    <col collapsed="false" customWidth="true" hidden="false" outlineLevel="0" max="4" min="4" style="0" width="60"/>
    <col collapsed="false" customWidth="true" hidden="false" outlineLevel="0" max="5" min="5" style="0" width="40"/>
    <col collapsed="false" customWidth="true" hidden="false" outlineLevel="0" max="6" min="6" style="0" width="30"/>
    <col collapsed="false" customWidth="true" hidden="false" outlineLevel="0" max="7" min="7" style="0" width="18"/>
    <col collapsed="false" customWidth="true" hidden="false" outlineLevel="0" max="8" min="8" style="0" width="11"/>
    <col collapsed="false" customWidth="true" hidden="false" outlineLevel="0" max="9" min="9" style="0" width="40"/>
    <col collapsed="false" customWidth="true" hidden="false" outlineLevel="0" max="10" min="10" style="0" width="30"/>
  </cols>
  <sheetData>
    <row r="1" customFormat="false" ht="17.35" hidden="false" customHeight="false" outlineLevel="0" collapsed="false">
      <c r="A1" s="1" t="s">
        <v>15</v>
      </c>
    </row>
    <row r="2" customFormat="false" ht="15" hidden="false" customHeight="false" outlineLevel="0" collapsed="false">
      <c r="A2" s="2" t="s">
        <v>16</v>
      </c>
    </row>
    <row r="4" customFormat="false" ht="30" hidden="false" customHeight="true" outlineLevel="0" collapsed="false">
      <c r="A4" s="5" t="s">
        <v>17</v>
      </c>
      <c r="B4" s="5"/>
      <c r="C4" s="5"/>
      <c r="D4" s="5"/>
      <c r="E4" s="5"/>
      <c r="F4" s="5"/>
      <c r="G4" s="5"/>
      <c r="H4" s="5"/>
      <c r="I4" s="5"/>
      <c r="J4" s="5"/>
    </row>
    <row r="6" customFormat="false" ht="30" hidden="false" customHeight="true" outlineLevel="0" collapsed="false">
      <c r="A6" s="6" t="s">
        <v>18</v>
      </c>
      <c r="B6" s="6" t="s">
        <v>19</v>
      </c>
      <c r="C6" s="6" t="s">
        <v>20</v>
      </c>
      <c r="D6" s="6" t="s">
        <v>21</v>
      </c>
      <c r="E6" s="6" t="s">
        <v>22</v>
      </c>
      <c r="F6" s="6" t="s">
        <v>23</v>
      </c>
      <c r="G6" s="6" t="s">
        <v>24</v>
      </c>
      <c r="H6" s="6" t="s">
        <v>25</v>
      </c>
      <c r="I6" s="6" t="s">
        <v>26</v>
      </c>
      <c r="J6" s="6" t="s">
        <v>27</v>
      </c>
    </row>
    <row r="7" customFormat="false" ht="35.05" hidden="false" customHeight="false" outlineLevel="0" collapsed="false">
      <c r="A7" s="7" t="s">
        <v>28</v>
      </c>
      <c r="B7" s="8" t="s">
        <v>29</v>
      </c>
      <c r="C7" s="7" t="s">
        <v>30</v>
      </c>
      <c r="D7" s="7" t="s">
        <v>31</v>
      </c>
      <c r="E7" s="7" t="s">
        <v>32</v>
      </c>
      <c r="F7" s="7" t="s">
        <v>33</v>
      </c>
      <c r="G7" s="9" t="s">
        <v>34</v>
      </c>
      <c r="H7" s="10" t="s">
        <v>35</v>
      </c>
      <c r="I7" s="10"/>
      <c r="J7" s="10"/>
    </row>
    <row r="8" customFormat="false" ht="23.85" hidden="false" customHeight="false" outlineLevel="0" collapsed="false">
      <c r="A8" s="7" t="s">
        <v>36</v>
      </c>
      <c r="B8" s="8" t="s">
        <v>29</v>
      </c>
      <c r="C8" s="7" t="s">
        <v>37</v>
      </c>
      <c r="D8" s="7" t="s">
        <v>38</v>
      </c>
      <c r="E8" s="7" t="s">
        <v>39</v>
      </c>
      <c r="F8" s="7" t="s">
        <v>40</v>
      </c>
      <c r="G8" s="9" t="s">
        <v>41</v>
      </c>
      <c r="H8" s="10" t="s">
        <v>35</v>
      </c>
      <c r="I8" s="10"/>
      <c r="J8" s="10"/>
    </row>
    <row r="9" customFormat="false" ht="35.05" hidden="false" customHeight="false" outlineLevel="0" collapsed="false">
      <c r="A9" s="7" t="s">
        <v>42</v>
      </c>
      <c r="B9" s="8" t="s">
        <v>29</v>
      </c>
      <c r="C9" s="7" t="s">
        <v>43</v>
      </c>
      <c r="D9" s="7" t="s">
        <v>44</v>
      </c>
      <c r="E9" s="7" t="s">
        <v>45</v>
      </c>
      <c r="F9" s="7" t="s">
        <v>46</v>
      </c>
      <c r="G9" s="9" t="s">
        <v>47</v>
      </c>
      <c r="H9" s="10" t="s">
        <v>35</v>
      </c>
      <c r="I9" s="10"/>
      <c r="J9" s="10"/>
    </row>
    <row r="10" customFormat="false" ht="23.85" hidden="false" customHeight="false" outlineLevel="0" collapsed="false">
      <c r="A10" s="7" t="s">
        <v>48</v>
      </c>
      <c r="B10" s="8" t="s">
        <v>29</v>
      </c>
      <c r="C10" s="7" t="s">
        <v>49</v>
      </c>
      <c r="D10" s="7" t="s">
        <v>50</v>
      </c>
      <c r="E10" s="7" t="s">
        <v>51</v>
      </c>
      <c r="F10" s="7" t="s">
        <v>52</v>
      </c>
      <c r="G10" s="9" t="s">
        <v>53</v>
      </c>
      <c r="H10" s="10" t="s">
        <v>35</v>
      </c>
      <c r="I10" s="10"/>
      <c r="J10" s="10"/>
    </row>
    <row r="11" customFormat="false" ht="23.85" hidden="false" customHeight="false" outlineLevel="0" collapsed="false">
      <c r="A11" s="7" t="s">
        <v>54</v>
      </c>
      <c r="B11" s="8" t="s">
        <v>29</v>
      </c>
      <c r="C11" s="7" t="s">
        <v>55</v>
      </c>
      <c r="D11" s="7" t="s">
        <v>56</v>
      </c>
      <c r="E11" s="7" t="s">
        <v>57</v>
      </c>
      <c r="F11" s="7" t="s">
        <v>58</v>
      </c>
      <c r="G11" s="9" t="s">
        <v>59</v>
      </c>
      <c r="H11" s="10" t="s">
        <v>35</v>
      </c>
      <c r="I11" s="10"/>
      <c r="J11" s="10"/>
    </row>
    <row r="12" customFormat="false" ht="23.85" hidden="false" customHeight="false" outlineLevel="0" collapsed="false">
      <c r="A12" s="7" t="s">
        <v>60</v>
      </c>
      <c r="B12" s="8" t="s">
        <v>29</v>
      </c>
      <c r="C12" s="7" t="s">
        <v>61</v>
      </c>
      <c r="D12" s="7" t="s">
        <v>62</v>
      </c>
      <c r="E12" s="7" t="s">
        <v>63</v>
      </c>
      <c r="F12" s="7" t="s">
        <v>64</v>
      </c>
      <c r="G12" s="9" t="s">
        <v>65</v>
      </c>
      <c r="H12" s="10" t="s">
        <v>35</v>
      </c>
      <c r="I12" s="10"/>
      <c r="J12" s="10"/>
    </row>
    <row r="13" customFormat="false" ht="23.85" hidden="false" customHeight="false" outlineLevel="0" collapsed="false">
      <c r="A13" s="7" t="s">
        <v>66</v>
      </c>
      <c r="B13" s="8" t="s">
        <v>29</v>
      </c>
      <c r="C13" s="7" t="s">
        <v>67</v>
      </c>
      <c r="D13" s="7" t="s">
        <v>68</v>
      </c>
      <c r="E13" s="7" t="s">
        <v>69</v>
      </c>
      <c r="F13" s="7" t="s">
        <v>70</v>
      </c>
      <c r="G13" s="9" t="s">
        <v>71</v>
      </c>
      <c r="H13" s="10" t="s">
        <v>35</v>
      </c>
      <c r="I13" s="10"/>
      <c r="J13" s="10"/>
    </row>
    <row r="14" customFormat="false" ht="23.85" hidden="false" customHeight="false" outlineLevel="0" collapsed="false">
      <c r="A14" s="7" t="s">
        <v>72</v>
      </c>
      <c r="B14" s="11" t="s">
        <v>73</v>
      </c>
      <c r="C14" s="7" t="s">
        <v>74</v>
      </c>
      <c r="D14" s="7" t="s">
        <v>75</v>
      </c>
      <c r="E14" s="7" t="s">
        <v>76</v>
      </c>
      <c r="F14" s="7" t="s">
        <v>77</v>
      </c>
      <c r="G14" s="9" t="s">
        <v>78</v>
      </c>
      <c r="H14" s="10" t="s">
        <v>35</v>
      </c>
      <c r="I14" s="10"/>
      <c r="J14" s="10"/>
    </row>
    <row r="15" customFormat="false" ht="23.85" hidden="false" customHeight="false" outlineLevel="0" collapsed="false">
      <c r="A15" s="7" t="s">
        <v>79</v>
      </c>
      <c r="B15" s="11" t="s">
        <v>73</v>
      </c>
      <c r="C15" s="7" t="s">
        <v>80</v>
      </c>
      <c r="D15" s="7" t="s">
        <v>81</v>
      </c>
      <c r="E15" s="7" t="s">
        <v>82</v>
      </c>
      <c r="F15" s="7" t="s">
        <v>83</v>
      </c>
      <c r="G15" s="9" t="s">
        <v>84</v>
      </c>
      <c r="H15" s="10" t="s">
        <v>35</v>
      </c>
      <c r="I15" s="10"/>
      <c r="J15" s="10"/>
    </row>
    <row r="16" customFormat="false" ht="23.85" hidden="false" customHeight="false" outlineLevel="0" collapsed="false">
      <c r="A16" s="7" t="s">
        <v>85</v>
      </c>
      <c r="B16" s="11" t="s">
        <v>73</v>
      </c>
      <c r="C16" s="7" t="s">
        <v>86</v>
      </c>
      <c r="D16" s="7" t="s">
        <v>87</v>
      </c>
      <c r="E16" s="7" t="s">
        <v>88</v>
      </c>
      <c r="F16" s="7" t="s">
        <v>89</v>
      </c>
      <c r="G16" s="9" t="s">
        <v>90</v>
      </c>
      <c r="H16" s="10" t="s">
        <v>35</v>
      </c>
      <c r="I16" s="10"/>
      <c r="J16" s="10"/>
    </row>
    <row r="17" customFormat="false" ht="23.85" hidden="false" customHeight="false" outlineLevel="0" collapsed="false">
      <c r="A17" s="7" t="s">
        <v>91</v>
      </c>
      <c r="B17" s="11" t="s">
        <v>73</v>
      </c>
      <c r="C17" s="7" t="s">
        <v>92</v>
      </c>
      <c r="D17" s="7" t="s">
        <v>93</v>
      </c>
      <c r="E17" s="7" t="s">
        <v>94</v>
      </c>
      <c r="F17" s="7" t="s">
        <v>95</v>
      </c>
      <c r="G17" s="9" t="s">
        <v>96</v>
      </c>
      <c r="H17" s="10" t="s">
        <v>35</v>
      </c>
      <c r="I17" s="10"/>
      <c r="J17" s="10"/>
    </row>
    <row r="18" customFormat="false" ht="15" hidden="false" customHeight="false" outlineLevel="0" collapsed="false">
      <c r="A18" s="7" t="s">
        <v>97</v>
      </c>
      <c r="B18" s="12" t="s">
        <v>98</v>
      </c>
      <c r="C18" s="7" t="s">
        <v>99</v>
      </c>
      <c r="D18" s="7" t="s">
        <v>100</v>
      </c>
      <c r="E18" s="7" t="s">
        <v>101</v>
      </c>
      <c r="F18" s="7" t="s">
        <v>102</v>
      </c>
      <c r="G18" s="9" t="s">
        <v>103</v>
      </c>
      <c r="H18" s="10" t="s">
        <v>35</v>
      </c>
      <c r="I18" s="10"/>
      <c r="J18" s="10"/>
    </row>
    <row r="19" customFormat="false" ht="15" hidden="false" customHeight="false" outlineLevel="0" collapsed="false">
      <c r="A19" s="7" t="s">
        <v>104</v>
      </c>
      <c r="B19" s="12" t="s">
        <v>98</v>
      </c>
      <c r="C19" s="7" t="s">
        <v>105</v>
      </c>
      <c r="D19" s="7" t="s">
        <v>106</v>
      </c>
      <c r="E19" s="7" t="s">
        <v>107</v>
      </c>
      <c r="F19" s="7" t="s">
        <v>108</v>
      </c>
      <c r="G19" s="9" t="s">
        <v>103</v>
      </c>
      <c r="H19" s="10" t="s">
        <v>35</v>
      </c>
      <c r="I19" s="10"/>
      <c r="J19" s="10"/>
    </row>
    <row r="21" customFormat="false" ht="15" hidden="false" customHeight="false" outlineLevel="0" collapsed="false">
      <c r="A21" s="13" t="s">
        <v>109</v>
      </c>
      <c r="B21" s="14"/>
      <c r="C21" s="13" t="str">
        <f aca="false">COUNTIF(H7:H19,"Done")&amp;" done, "&amp;COUNTIF(H7:H19,"In progress")&amp;" in progress, "&amp;COUNTIF(H7:H19,"To do")&amp;" to do"</f>
        <v>0 done, 0 in progress, 13 to do</v>
      </c>
      <c r="D21" s="14"/>
      <c r="E21" s="14"/>
      <c r="F21" s="14"/>
      <c r="G21" s="14"/>
      <c r="H21" s="14"/>
      <c r="I21" s="14"/>
      <c r="J21" s="14"/>
    </row>
  </sheetData>
  <autoFilter ref="A6:J19"/>
  <mergeCells count="1">
    <mergeCell ref="A4:J4"/>
  </mergeCells>
  <dataValidations count="1">
    <dataValidation allowBlank="true" errorStyle="stop" operator="between" showDropDown="false" showErrorMessage="false" showInputMessage="false" sqref="H7:H19" type="list">
      <formula1>"To do,In progress,Done"</formula1>
      <formula2>0</formula2>
    </dataValidation>
  </dataValidations>
  <hyperlinks>
    <hyperlink ref="G7" r:id="rId1" location="H1_ReworkNoNC!A1" display="H1_ReworkNoNC"/>
    <hyperlink ref="G8" r:id="rId2" location="H2_QualityTime!A1" display="H2_QualityTime"/>
    <hyperlink ref="G9" r:id="rId3" location="H3_CustomerReturns!A1" display="H3_CustomerReturns"/>
    <hyperlink ref="G10" r:id="rId4" location="H4_CableCutting!A1" display="H4_CableCutting"/>
    <hyperlink ref="G11" r:id="rId5" location="H5_NCsNoOrder!A1" display="H5_NCsNoOrder"/>
    <hyperlink ref="G12" r:id="rId6" location="H6_OrdersNoTime!A1" display="H6_OrdersNoTime"/>
    <hyperlink ref="G13" r:id="rId7" location="H7_DisruptExport!A1" display="H7_DisruptExport"/>
    <hyperlink ref="G14" r:id="rId8" location="M1_QualityLike!A1" display="M1_QualityLike"/>
    <hyperlink ref="G15" r:id="rId9" location="D_Block!A1" display="D_Block"/>
    <hyperlink ref="G16" r:id="rId10" location="M2_NCsNotHeld!A1" display="M2_NCsNotHeld"/>
    <hyperlink ref="G17" r:id="rId11" location="M3_Exceptional!A1" display="M3_Exceptional"/>
    <hyperlink ref="G18" r:id="rId12" location="Later!A1" display="Later"/>
    <hyperlink ref="G19" r:id="rId13" location="Later!A1" display="Lat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4"/>
    <col collapsed="false" customWidth="true" hidden="false" outlineLevel="0" max="3" min="3" style="0" width="16"/>
    <col collapsed="false" customWidth="true" hidden="false" outlineLevel="0" max="4" min="4" style="0" width="95"/>
  </cols>
  <sheetData>
    <row r="1" customFormat="false" ht="17.35" hidden="false" customHeight="false" outlineLevel="0" collapsed="false">
      <c r="A1" s="1" t="s">
        <v>110</v>
      </c>
    </row>
    <row r="2" customFormat="false" ht="15" hidden="false" customHeight="false" outlineLevel="0" collapsed="false">
      <c r="A2" s="2" t="s">
        <v>111</v>
      </c>
    </row>
    <row r="4" customFormat="false" ht="15" hidden="false" customHeight="false" outlineLevel="0" collapsed="false">
      <c r="A4" s="15" t="s">
        <v>112</v>
      </c>
      <c r="C4" s="16" t="n">
        <v>50</v>
      </c>
      <c r="D4" s="2" t="s">
        <v>113</v>
      </c>
    </row>
    <row r="6" customFormat="false" ht="15" hidden="false" customHeight="false" outlineLevel="0" collapsed="false">
      <c r="A6" s="15" t="s">
        <v>114</v>
      </c>
    </row>
    <row r="7" customFormat="false" ht="15" hidden="false" customHeight="false" outlineLevel="0" collapsed="false">
      <c r="A7" s="17" t="s">
        <v>115</v>
      </c>
      <c r="C7" s="18" t="n">
        <v>121503</v>
      </c>
      <c r="D7" s="2" t="s">
        <v>116</v>
      </c>
    </row>
    <row r="8" customFormat="false" ht="15" hidden="false" customHeight="false" outlineLevel="0" collapsed="false">
      <c r="A8" s="17" t="s">
        <v>117</v>
      </c>
      <c r="C8" s="18" t="n">
        <v>142151</v>
      </c>
      <c r="D8" s="2" t="s">
        <v>118</v>
      </c>
    </row>
    <row r="9" customFormat="false" ht="15" hidden="false" customHeight="false" outlineLevel="0" collapsed="false">
      <c r="A9" s="17" t="s">
        <v>119</v>
      </c>
      <c r="C9" s="18" t="n">
        <v>168633</v>
      </c>
      <c r="D9" s="2" t="s">
        <v>120</v>
      </c>
    </row>
    <row r="10" customFormat="false" ht="15" hidden="false" customHeight="false" outlineLevel="0" collapsed="false">
      <c r="A10" s="17" t="s">
        <v>121</v>
      </c>
      <c r="C10" s="18" t="n">
        <v>10250</v>
      </c>
      <c r="D10" s="2" t="s">
        <v>122</v>
      </c>
    </row>
    <row r="11" customFormat="false" ht="15" hidden="false" customHeight="false" outlineLevel="0" collapsed="false">
      <c r="A11" s="17" t="s">
        <v>123</v>
      </c>
      <c r="C11" s="19" t="n">
        <f aca="false">H3_CustomerReturns!$R$77</f>
        <v>10250</v>
      </c>
      <c r="D11" s="2" t="s">
        <v>124</v>
      </c>
    </row>
    <row r="13" customFormat="false" ht="15" hidden="false" customHeight="false" outlineLevel="0" collapsed="false">
      <c r="A13" s="15" t="s">
        <v>125</v>
      </c>
    </row>
    <row r="14" customFormat="false" ht="15" hidden="false" customHeight="false" outlineLevel="0" collapsed="false">
      <c r="A14" s="17" t="s">
        <v>126</v>
      </c>
      <c r="C14" s="20" t="n">
        <f aca="false">SUMIFS(D_Block!$G$7:$G$114,D_Block!$K$7:$K$114,"&lt;&gt;N")/60</f>
        <v>91.2</v>
      </c>
    </row>
    <row r="15" customFormat="false" ht="15" hidden="false" customHeight="false" outlineLevel="0" collapsed="false">
      <c r="A15" s="17" t="s">
        <v>127</v>
      </c>
      <c r="C15" s="20" t="n">
        <f aca="false">SUMIFS(D_Block!$G$7:$G$114,D_Block!$K$7:$K$114,"&lt;&gt;N",D_Block!$C$7:$C$114,"&gt;=202602")/60</f>
        <v>64.9333333333333</v>
      </c>
    </row>
    <row r="16" customFormat="false" ht="15" hidden="false" customHeight="false" outlineLevel="0" collapsed="false">
      <c r="A16" s="17" t="s">
        <v>128</v>
      </c>
      <c r="C16" s="20" t="n">
        <f aca="false">SUMIFS(M1_QualityLike!$F$16:$F$122,M1_QualityLike!$I$16:$I$122,"Y")/60</f>
        <v>0</v>
      </c>
    </row>
    <row r="17" customFormat="false" ht="15" hidden="false" customHeight="false" outlineLevel="0" collapsed="false">
      <c r="A17" s="15" t="s">
        <v>129</v>
      </c>
      <c r="C17" s="21" t="n">
        <f aca="false">(C14+C16)*Figures!$C$4</f>
        <v>4560</v>
      </c>
      <c r="D17" s="2" t="s">
        <v>130</v>
      </c>
    </row>
    <row r="19" customFormat="false" ht="15" hidden="false" customHeight="false" outlineLevel="0" collapsed="false">
      <c r="A19" s="15" t="s">
        <v>131</v>
      </c>
    </row>
    <row r="20" customFormat="false" ht="15" hidden="false" customHeight="false" outlineLevel="0" collapsed="false">
      <c r="A20" s="17" t="s">
        <v>132</v>
      </c>
      <c r="C20" s="18" t="n">
        <v>746</v>
      </c>
      <c r="D20" s="2" t="s">
        <v>133</v>
      </c>
    </row>
    <row r="21" customFormat="false" ht="15" hidden="false" customHeight="false" outlineLevel="0" collapsed="false">
      <c r="A21" s="17" t="s">
        <v>134</v>
      </c>
      <c r="C21" s="19" t="n">
        <f aca="false">C20*Figures!$C$4</f>
        <v>37300</v>
      </c>
    </row>
    <row r="22" customFormat="false" ht="15" hidden="false" customHeight="false" outlineLevel="0" collapsed="false">
      <c r="A22" s="17" t="s">
        <v>135</v>
      </c>
      <c r="C22" s="18" t="n">
        <v>44472</v>
      </c>
      <c r="D22" s="2" t="s">
        <v>136</v>
      </c>
    </row>
    <row r="23" customFormat="false" ht="15" hidden="false" customHeight="false" outlineLevel="0" collapsed="false">
      <c r="A23" s="17" t="s">
        <v>137</v>
      </c>
      <c r="C23" s="20" t="n">
        <f aca="false">H1_ReworkNoNC!$E$112</f>
        <v>180.76</v>
      </c>
      <c r="D23" s="2" t="s">
        <v>138</v>
      </c>
    </row>
    <row r="24" customFormat="false" ht="15" hidden="false" customHeight="false" outlineLevel="0" collapsed="false">
      <c r="A24" s="17" t="s">
        <v>139</v>
      </c>
      <c r="C24" s="20" t="n">
        <f aca="false">SUMIFS(H1_ReworkNoNC!$E$7:$E$111,H1_ReworkNoNC!$I$7:$I$111,"Y")</f>
        <v>0</v>
      </c>
    </row>
    <row r="25" customFormat="false" ht="15" hidden="false" customHeight="false" outlineLevel="0" collapsed="false">
      <c r="A25" s="17" t="s">
        <v>140</v>
      </c>
      <c r="C25" s="19" t="n">
        <f aca="false">C24*Figures!$C$4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7"/>
    <col collapsed="false" customWidth="true" hidden="false" outlineLevel="0" max="4" min="4" style="0" width="30"/>
    <col collapsed="false" customWidth="true" hidden="false" outlineLevel="0" max="5" min="5" style="0" width="8"/>
    <col collapsed="false" customWidth="true" hidden="false" outlineLevel="0" max="6" min="6" style="0" width="30"/>
    <col collapsed="false" customWidth="true" hidden="false" outlineLevel="0" max="7" min="7" style="0" width="12"/>
    <col collapsed="false" customWidth="true" hidden="false" outlineLevel="0" max="8" min="8" style="0" width="80"/>
    <col collapsed="false" customWidth="true" hidden="false" outlineLevel="0" max="9" min="9" style="0" width="11"/>
    <col collapsed="false" customWidth="true" hidden="false" outlineLevel="0" max="10" min="10" style="0" width="13"/>
    <col collapsed="false" customWidth="true" hidden="false" outlineLevel="0" max="11" min="11" style="0" width="25"/>
  </cols>
  <sheetData>
    <row r="1" customFormat="false" ht="17.35" hidden="false" customHeight="false" outlineLevel="0" collapsed="false">
      <c r="A1" s="1" t="s">
        <v>141</v>
      </c>
    </row>
    <row r="2" customFormat="false" ht="15" hidden="false" customHeight="false" outlineLevel="0" collapsed="false">
      <c r="A2" s="2" t="s">
        <v>142</v>
      </c>
    </row>
    <row r="4" customFormat="false" ht="30" hidden="false" customHeight="true" outlineLevel="0" collapsed="false">
      <c r="A4" s="5" t="s">
        <v>143</v>
      </c>
      <c r="B4" s="5"/>
      <c r="C4" s="5"/>
      <c r="D4" s="5"/>
      <c r="E4" s="5"/>
      <c r="F4" s="5"/>
      <c r="G4" s="5"/>
      <c r="H4" s="5"/>
      <c r="I4" s="5"/>
      <c r="J4" s="5"/>
      <c r="K4" s="5"/>
    </row>
    <row r="6" customFormat="false" ht="30" hidden="false" customHeight="true" outlineLevel="0" collapsed="false">
      <c r="A6" s="6" t="s">
        <v>144</v>
      </c>
      <c r="B6" s="6" t="s">
        <v>145</v>
      </c>
      <c r="C6" s="6" t="s">
        <v>146</v>
      </c>
      <c r="D6" s="6" t="s">
        <v>147</v>
      </c>
      <c r="E6" s="6" t="s">
        <v>148</v>
      </c>
      <c r="F6" s="6" t="s">
        <v>149</v>
      </c>
      <c r="G6" s="6" t="s">
        <v>150</v>
      </c>
      <c r="H6" s="6" t="s">
        <v>151</v>
      </c>
      <c r="I6" s="6" t="s">
        <v>152</v>
      </c>
      <c r="J6" s="6" t="s">
        <v>153</v>
      </c>
      <c r="K6" s="6" t="s">
        <v>154</v>
      </c>
    </row>
    <row r="7" customFormat="false" ht="23.85" hidden="false" customHeight="false" outlineLevel="0" collapsed="false">
      <c r="A7" s="7" t="s">
        <v>155</v>
      </c>
      <c r="B7" s="7" t="s">
        <v>156</v>
      </c>
      <c r="C7" s="7" t="s">
        <v>157</v>
      </c>
      <c r="D7" s="7" t="s">
        <v>158</v>
      </c>
      <c r="E7" s="22" t="n">
        <v>13.26</v>
      </c>
      <c r="F7" s="7" t="s">
        <v>159</v>
      </c>
      <c r="G7" s="7"/>
      <c r="H7" s="7" t="s">
        <v>160</v>
      </c>
      <c r="I7" s="10"/>
      <c r="J7" s="10"/>
      <c r="K7" s="10"/>
    </row>
    <row r="8" customFormat="false" ht="35.05" hidden="false" customHeight="false" outlineLevel="0" collapsed="false">
      <c r="A8" s="7" t="s">
        <v>161</v>
      </c>
      <c r="B8" s="7" t="s">
        <v>156</v>
      </c>
      <c r="C8" s="7" t="s">
        <v>162</v>
      </c>
      <c r="D8" s="7" t="s">
        <v>163</v>
      </c>
      <c r="E8" s="22" t="n">
        <v>3.42</v>
      </c>
      <c r="F8" s="7" t="s">
        <v>159</v>
      </c>
      <c r="G8" s="7"/>
      <c r="H8" s="7" t="s">
        <v>164</v>
      </c>
      <c r="I8" s="10"/>
      <c r="J8" s="10"/>
      <c r="K8" s="10"/>
    </row>
    <row r="9" customFormat="false" ht="23.85" hidden="false" customHeight="false" outlineLevel="0" collapsed="false">
      <c r="A9" s="7" t="s">
        <v>165</v>
      </c>
      <c r="B9" s="7" t="s">
        <v>156</v>
      </c>
      <c r="C9" s="7" t="s">
        <v>162</v>
      </c>
      <c r="D9" s="7" t="s">
        <v>166</v>
      </c>
      <c r="E9" s="22" t="n">
        <v>3.42</v>
      </c>
      <c r="F9" s="7" t="s">
        <v>159</v>
      </c>
      <c r="G9" s="7"/>
      <c r="H9" s="7" t="s">
        <v>167</v>
      </c>
      <c r="I9" s="10"/>
      <c r="J9" s="10"/>
      <c r="K9" s="10"/>
    </row>
    <row r="10" customFormat="false" ht="35.05" hidden="false" customHeight="false" outlineLevel="0" collapsed="false">
      <c r="A10" s="7" t="s">
        <v>168</v>
      </c>
      <c r="B10" s="7" t="s">
        <v>156</v>
      </c>
      <c r="C10" s="7" t="s">
        <v>162</v>
      </c>
      <c r="D10" s="7" t="s">
        <v>163</v>
      </c>
      <c r="E10" s="22" t="n">
        <v>3.42</v>
      </c>
      <c r="F10" s="7" t="s">
        <v>159</v>
      </c>
      <c r="G10" s="7"/>
      <c r="H10" s="7" t="s">
        <v>164</v>
      </c>
      <c r="I10" s="10"/>
      <c r="J10" s="10"/>
      <c r="K10" s="10"/>
    </row>
    <row r="11" customFormat="false" ht="23.85" hidden="false" customHeight="false" outlineLevel="0" collapsed="false">
      <c r="A11" s="7" t="s">
        <v>169</v>
      </c>
      <c r="B11" s="7" t="s">
        <v>156</v>
      </c>
      <c r="C11" s="7" t="s">
        <v>162</v>
      </c>
      <c r="D11" s="7" t="s">
        <v>166</v>
      </c>
      <c r="E11" s="22" t="n">
        <v>3.42</v>
      </c>
      <c r="F11" s="7" t="s">
        <v>159</v>
      </c>
      <c r="G11" s="7"/>
      <c r="H11" s="7" t="s">
        <v>167</v>
      </c>
      <c r="I11" s="10"/>
      <c r="J11" s="10"/>
      <c r="K11" s="10"/>
    </row>
    <row r="12" customFormat="false" ht="23.85" hidden="false" customHeight="false" outlineLevel="0" collapsed="false">
      <c r="A12" s="7" t="s">
        <v>170</v>
      </c>
      <c r="B12" s="7" t="s">
        <v>156</v>
      </c>
      <c r="C12" s="7" t="s">
        <v>162</v>
      </c>
      <c r="D12" s="7" t="s">
        <v>166</v>
      </c>
      <c r="E12" s="22" t="n">
        <v>3.42</v>
      </c>
      <c r="F12" s="7" t="s">
        <v>159</v>
      </c>
      <c r="G12" s="7"/>
      <c r="H12" s="7" t="s">
        <v>167</v>
      </c>
      <c r="I12" s="10"/>
      <c r="J12" s="10"/>
      <c r="K12" s="10"/>
    </row>
    <row r="13" customFormat="false" ht="23.85" hidden="false" customHeight="false" outlineLevel="0" collapsed="false">
      <c r="A13" s="7" t="s">
        <v>171</v>
      </c>
      <c r="B13" s="7" t="s">
        <v>156</v>
      </c>
      <c r="C13" s="7" t="s">
        <v>162</v>
      </c>
      <c r="D13" s="7" t="s">
        <v>166</v>
      </c>
      <c r="E13" s="22" t="n">
        <v>3.42</v>
      </c>
      <c r="F13" s="7" t="s">
        <v>159</v>
      </c>
      <c r="G13" s="7"/>
      <c r="H13" s="7" t="s">
        <v>167</v>
      </c>
      <c r="I13" s="10"/>
      <c r="J13" s="10"/>
      <c r="K13" s="10"/>
    </row>
    <row r="14" customFormat="false" ht="23.85" hidden="false" customHeight="false" outlineLevel="0" collapsed="false">
      <c r="A14" s="7" t="s">
        <v>172</v>
      </c>
      <c r="B14" s="7" t="s">
        <v>156</v>
      </c>
      <c r="C14" s="7" t="s">
        <v>162</v>
      </c>
      <c r="D14" s="7" t="s">
        <v>166</v>
      </c>
      <c r="E14" s="22" t="n">
        <v>3.42</v>
      </c>
      <c r="F14" s="7" t="s">
        <v>159</v>
      </c>
      <c r="G14" s="7"/>
      <c r="H14" s="7" t="s">
        <v>167</v>
      </c>
      <c r="I14" s="10"/>
      <c r="J14" s="10"/>
      <c r="K14" s="10"/>
    </row>
    <row r="15" customFormat="false" ht="35.05" hidden="false" customHeight="false" outlineLevel="0" collapsed="false">
      <c r="A15" s="7" t="s">
        <v>173</v>
      </c>
      <c r="B15" s="7" t="s">
        <v>156</v>
      </c>
      <c r="C15" s="7" t="s">
        <v>162</v>
      </c>
      <c r="D15" s="7" t="s">
        <v>158</v>
      </c>
      <c r="E15" s="22" t="n">
        <v>3.42</v>
      </c>
      <c r="F15" s="7" t="s">
        <v>159</v>
      </c>
      <c r="G15" s="7"/>
      <c r="H15" s="7" t="s">
        <v>174</v>
      </c>
      <c r="I15" s="10"/>
      <c r="J15" s="10"/>
      <c r="K15" s="10"/>
    </row>
    <row r="16" customFormat="false" ht="35.05" hidden="false" customHeight="false" outlineLevel="0" collapsed="false">
      <c r="A16" s="7" t="s">
        <v>175</v>
      </c>
      <c r="B16" s="7" t="s">
        <v>156</v>
      </c>
      <c r="C16" s="7" t="s">
        <v>162</v>
      </c>
      <c r="D16" s="7" t="s">
        <v>163</v>
      </c>
      <c r="E16" s="22" t="n">
        <v>3.42</v>
      </c>
      <c r="F16" s="7" t="s">
        <v>159</v>
      </c>
      <c r="G16" s="7"/>
      <c r="H16" s="7" t="s">
        <v>164</v>
      </c>
      <c r="I16" s="10"/>
      <c r="J16" s="10"/>
      <c r="K16" s="10"/>
    </row>
    <row r="17" customFormat="false" ht="23.85" hidden="false" customHeight="false" outlineLevel="0" collapsed="false">
      <c r="A17" s="7" t="s">
        <v>176</v>
      </c>
      <c r="B17" s="7" t="s">
        <v>156</v>
      </c>
      <c r="C17" s="7" t="s">
        <v>177</v>
      </c>
      <c r="D17" s="7" t="s">
        <v>158</v>
      </c>
      <c r="E17" s="22" t="n">
        <v>2.26</v>
      </c>
      <c r="F17" s="7" t="s">
        <v>159</v>
      </c>
      <c r="G17" s="7"/>
      <c r="H17" s="7" t="s">
        <v>178</v>
      </c>
      <c r="I17" s="10"/>
      <c r="J17" s="10"/>
      <c r="K17" s="10"/>
    </row>
    <row r="18" customFormat="false" ht="23.85" hidden="false" customHeight="false" outlineLevel="0" collapsed="false">
      <c r="A18" s="7" t="s">
        <v>179</v>
      </c>
      <c r="B18" s="7" t="s">
        <v>156</v>
      </c>
      <c r="C18" s="7" t="s">
        <v>177</v>
      </c>
      <c r="D18" s="7" t="s">
        <v>158</v>
      </c>
      <c r="E18" s="22" t="n">
        <v>2.26</v>
      </c>
      <c r="F18" s="7" t="s">
        <v>159</v>
      </c>
      <c r="G18" s="7"/>
      <c r="H18" s="7" t="s">
        <v>178</v>
      </c>
      <c r="I18" s="10"/>
      <c r="J18" s="10"/>
      <c r="K18" s="10"/>
    </row>
    <row r="19" customFormat="false" ht="15" hidden="false" customHeight="false" outlineLevel="0" collapsed="false">
      <c r="A19" s="7" t="s">
        <v>180</v>
      </c>
      <c r="B19" s="7" t="s">
        <v>156</v>
      </c>
      <c r="C19" s="7" t="s">
        <v>181</v>
      </c>
      <c r="D19" s="7" t="s">
        <v>166</v>
      </c>
      <c r="E19" s="22" t="n">
        <v>1.16</v>
      </c>
      <c r="F19" s="7" t="s">
        <v>159</v>
      </c>
      <c r="G19" s="7"/>
      <c r="H19" s="7" t="s">
        <v>182</v>
      </c>
      <c r="I19" s="10"/>
      <c r="J19" s="10"/>
      <c r="K19" s="10"/>
    </row>
    <row r="20" customFormat="false" ht="23.85" hidden="false" customHeight="false" outlineLevel="0" collapsed="false">
      <c r="A20" s="7" t="s">
        <v>183</v>
      </c>
      <c r="B20" s="7" t="s">
        <v>156</v>
      </c>
      <c r="C20" s="7" t="s">
        <v>181</v>
      </c>
      <c r="D20" s="7" t="s">
        <v>158</v>
      </c>
      <c r="E20" s="22" t="n">
        <v>1.16</v>
      </c>
      <c r="F20" s="7" t="s">
        <v>159</v>
      </c>
      <c r="G20" s="7"/>
      <c r="H20" s="7" t="s">
        <v>184</v>
      </c>
      <c r="I20" s="10"/>
      <c r="J20" s="10"/>
      <c r="K20" s="10"/>
    </row>
    <row r="21" customFormat="false" ht="23.85" hidden="false" customHeight="false" outlineLevel="0" collapsed="false">
      <c r="A21" s="7" t="s">
        <v>185</v>
      </c>
      <c r="B21" s="7" t="s">
        <v>156</v>
      </c>
      <c r="C21" s="7" t="s">
        <v>181</v>
      </c>
      <c r="D21" s="7" t="s">
        <v>158</v>
      </c>
      <c r="E21" s="22" t="n">
        <v>1.16</v>
      </c>
      <c r="F21" s="7" t="s">
        <v>159</v>
      </c>
      <c r="G21" s="7"/>
      <c r="H21" s="7" t="s">
        <v>186</v>
      </c>
      <c r="I21" s="10"/>
      <c r="J21" s="10"/>
      <c r="K21" s="10"/>
    </row>
    <row r="22" customFormat="false" ht="23.85" hidden="false" customHeight="false" outlineLevel="0" collapsed="false">
      <c r="A22" s="7" t="s">
        <v>187</v>
      </c>
      <c r="B22" s="7" t="s">
        <v>156</v>
      </c>
      <c r="C22" s="7" t="s">
        <v>181</v>
      </c>
      <c r="D22" s="7" t="s">
        <v>158</v>
      </c>
      <c r="E22" s="22" t="n">
        <v>1.16</v>
      </c>
      <c r="F22" s="7" t="s">
        <v>159</v>
      </c>
      <c r="G22" s="7"/>
      <c r="H22" s="7" t="s">
        <v>184</v>
      </c>
      <c r="I22" s="10"/>
      <c r="J22" s="10"/>
      <c r="K22" s="10"/>
    </row>
    <row r="23" customFormat="false" ht="23.85" hidden="false" customHeight="false" outlineLevel="0" collapsed="false">
      <c r="A23" s="7" t="s">
        <v>188</v>
      </c>
      <c r="B23" s="7" t="s">
        <v>156</v>
      </c>
      <c r="C23" s="7" t="s">
        <v>181</v>
      </c>
      <c r="D23" s="7" t="s">
        <v>158</v>
      </c>
      <c r="E23" s="22" t="n">
        <v>1.16</v>
      </c>
      <c r="F23" s="7" t="s">
        <v>159</v>
      </c>
      <c r="G23" s="7"/>
      <c r="H23" s="7" t="s">
        <v>186</v>
      </c>
      <c r="I23" s="10"/>
      <c r="J23" s="10"/>
      <c r="K23" s="10"/>
    </row>
    <row r="24" customFormat="false" ht="23.85" hidden="false" customHeight="false" outlineLevel="0" collapsed="false">
      <c r="A24" s="7" t="s">
        <v>189</v>
      </c>
      <c r="B24" s="7" t="s">
        <v>156</v>
      </c>
      <c r="C24" s="7" t="s">
        <v>181</v>
      </c>
      <c r="D24" s="7" t="s">
        <v>158</v>
      </c>
      <c r="E24" s="22" t="n">
        <v>1.16</v>
      </c>
      <c r="F24" s="7" t="s">
        <v>159</v>
      </c>
      <c r="G24" s="7"/>
      <c r="H24" s="7" t="s">
        <v>184</v>
      </c>
      <c r="I24" s="10"/>
      <c r="J24" s="10"/>
      <c r="K24" s="10"/>
    </row>
    <row r="25" customFormat="false" ht="23.85" hidden="false" customHeight="false" outlineLevel="0" collapsed="false">
      <c r="A25" s="7" t="s">
        <v>190</v>
      </c>
      <c r="B25" s="7" t="s">
        <v>156</v>
      </c>
      <c r="C25" s="7" t="s">
        <v>181</v>
      </c>
      <c r="D25" s="7" t="s">
        <v>158</v>
      </c>
      <c r="E25" s="22" t="n">
        <v>1.16</v>
      </c>
      <c r="F25" s="7" t="s">
        <v>159</v>
      </c>
      <c r="G25" s="7"/>
      <c r="H25" s="7" t="s">
        <v>184</v>
      </c>
      <c r="I25" s="10"/>
      <c r="J25" s="10"/>
      <c r="K25" s="10"/>
    </row>
    <row r="26" customFormat="false" ht="23.85" hidden="false" customHeight="false" outlineLevel="0" collapsed="false">
      <c r="A26" s="7" t="s">
        <v>191</v>
      </c>
      <c r="B26" s="7" t="s">
        <v>156</v>
      </c>
      <c r="C26" s="7" t="s">
        <v>181</v>
      </c>
      <c r="D26" s="7" t="s">
        <v>158</v>
      </c>
      <c r="E26" s="22" t="n">
        <v>1.16</v>
      </c>
      <c r="F26" s="7" t="s">
        <v>159</v>
      </c>
      <c r="G26" s="7"/>
      <c r="H26" s="7" t="s">
        <v>184</v>
      </c>
      <c r="I26" s="10"/>
      <c r="J26" s="10"/>
      <c r="K26" s="10"/>
    </row>
    <row r="27" customFormat="false" ht="23.85" hidden="false" customHeight="false" outlineLevel="0" collapsed="false">
      <c r="A27" s="7" t="s">
        <v>192</v>
      </c>
      <c r="B27" s="7" t="s">
        <v>156</v>
      </c>
      <c r="C27" s="7" t="s">
        <v>181</v>
      </c>
      <c r="D27" s="7" t="s">
        <v>158</v>
      </c>
      <c r="E27" s="22" t="n">
        <v>1.16</v>
      </c>
      <c r="F27" s="7" t="s">
        <v>159</v>
      </c>
      <c r="G27" s="7"/>
      <c r="H27" s="7" t="s">
        <v>186</v>
      </c>
      <c r="I27" s="10"/>
      <c r="J27" s="10"/>
      <c r="K27" s="10"/>
    </row>
    <row r="28" customFormat="false" ht="23.85" hidden="false" customHeight="false" outlineLevel="0" collapsed="false">
      <c r="A28" s="7" t="s">
        <v>193</v>
      </c>
      <c r="B28" s="7" t="s">
        <v>156</v>
      </c>
      <c r="C28" s="7" t="s">
        <v>181</v>
      </c>
      <c r="D28" s="7" t="s">
        <v>158</v>
      </c>
      <c r="E28" s="22" t="n">
        <v>1.16</v>
      </c>
      <c r="F28" s="7" t="s">
        <v>159</v>
      </c>
      <c r="G28" s="7"/>
      <c r="H28" s="7" t="s">
        <v>184</v>
      </c>
      <c r="I28" s="10"/>
      <c r="J28" s="10"/>
      <c r="K28" s="10"/>
    </row>
    <row r="29" customFormat="false" ht="15" hidden="false" customHeight="false" outlineLevel="0" collapsed="false">
      <c r="A29" s="7" t="s">
        <v>194</v>
      </c>
      <c r="B29" s="7" t="s">
        <v>156</v>
      </c>
      <c r="C29" s="7" t="s">
        <v>177</v>
      </c>
      <c r="D29" s="7" t="s">
        <v>166</v>
      </c>
      <c r="E29" s="22" t="n">
        <v>1.16</v>
      </c>
      <c r="F29" s="7" t="s">
        <v>159</v>
      </c>
      <c r="G29" s="7"/>
      <c r="H29" s="7" t="s">
        <v>195</v>
      </c>
      <c r="I29" s="10"/>
      <c r="J29" s="10"/>
      <c r="K29" s="10"/>
    </row>
    <row r="30" customFormat="false" ht="15" hidden="false" customHeight="false" outlineLevel="0" collapsed="false">
      <c r="A30" s="7" t="s">
        <v>196</v>
      </c>
      <c r="B30" s="7" t="s">
        <v>156</v>
      </c>
      <c r="C30" s="7" t="s">
        <v>177</v>
      </c>
      <c r="D30" s="7" t="s">
        <v>166</v>
      </c>
      <c r="E30" s="22" t="n">
        <v>1.16</v>
      </c>
      <c r="F30" s="7" t="s">
        <v>159</v>
      </c>
      <c r="G30" s="7"/>
      <c r="H30" s="7" t="s">
        <v>195</v>
      </c>
      <c r="I30" s="10"/>
      <c r="J30" s="10"/>
      <c r="K30" s="10"/>
    </row>
    <row r="31" customFormat="false" ht="15" hidden="false" customHeight="false" outlineLevel="0" collapsed="false">
      <c r="A31" s="7" t="s">
        <v>197</v>
      </c>
      <c r="B31" s="7" t="s">
        <v>156</v>
      </c>
      <c r="C31" s="7" t="s">
        <v>177</v>
      </c>
      <c r="D31" s="7" t="s">
        <v>166</v>
      </c>
      <c r="E31" s="22" t="n">
        <v>1.16</v>
      </c>
      <c r="F31" s="7" t="s">
        <v>159</v>
      </c>
      <c r="G31" s="7"/>
      <c r="H31" s="7" t="s">
        <v>195</v>
      </c>
      <c r="I31" s="10"/>
      <c r="J31" s="10"/>
      <c r="K31" s="10"/>
    </row>
    <row r="32" customFormat="false" ht="15" hidden="false" customHeight="false" outlineLevel="0" collapsed="false">
      <c r="A32" s="7" t="s">
        <v>198</v>
      </c>
      <c r="B32" s="7" t="s">
        <v>156</v>
      </c>
      <c r="C32" s="7" t="s">
        <v>177</v>
      </c>
      <c r="D32" s="7" t="s">
        <v>166</v>
      </c>
      <c r="E32" s="22" t="n">
        <v>1.16</v>
      </c>
      <c r="F32" s="7" t="s">
        <v>159</v>
      </c>
      <c r="G32" s="7"/>
      <c r="H32" s="7" t="s">
        <v>195</v>
      </c>
      <c r="I32" s="10"/>
      <c r="J32" s="10"/>
      <c r="K32" s="10"/>
    </row>
    <row r="33" customFormat="false" ht="15" hidden="false" customHeight="false" outlineLevel="0" collapsed="false">
      <c r="A33" s="7" t="s">
        <v>199</v>
      </c>
      <c r="B33" s="7" t="s">
        <v>156</v>
      </c>
      <c r="C33" s="7" t="s">
        <v>177</v>
      </c>
      <c r="D33" s="7" t="s">
        <v>166</v>
      </c>
      <c r="E33" s="22" t="n">
        <v>1.16</v>
      </c>
      <c r="F33" s="7" t="s">
        <v>159</v>
      </c>
      <c r="G33" s="7"/>
      <c r="H33" s="7" t="s">
        <v>195</v>
      </c>
      <c r="I33" s="10"/>
      <c r="J33" s="10"/>
      <c r="K33" s="10"/>
    </row>
    <row r="34" customFormat="false" ht="15" hidden="false" customHeight="false" outlineLevel="0" collapsed="false">
      <c r="A34" s="7" t="s">
        <v>200</v>
      </c>
      <c r="B34" s="7" t="s">
        <v>156</v>
      </c>
      <c r="C34" s="7" t="s">
        <v>177</v>
      </c>
      <c r="D34" s="7" t="s">
        <v>166</v>
      </c>
      <c r="E34" s="22" t="n">
        <v>1.16</v>
      </c>
      <c r="F34" s="7" t="s">
        <v>159</v>
      </c>
      <c r="G34" s="7"/>
      <c r="H34" s="7" t="s">
        <v>195</v>
      </c>
      <c r="I34" s="10"/>
      <c r="J34" s="10"/>
      <c r="K34" s="10"/>
    </row>
    <row r="35" customFormat="false" ht="15" hidden="false" customHeight="false" outlineLevel="0" collapsed="false">
      <c r="A35" s="7" t="s">
        <v>201</v>
      </c>
      <c r="B35" s="7" t="s">
        <v>156</v>
      </c>
      <c r="C35" s="7" t="s">
        <v>177</v>
      </c>
      <c r="D35" s="7" t="s">
        <v>166</v>
      </c>
      <c r="E35" s="22" t="n">
        <v>1.16</v>
      </c>
      <c r="F35" s="7" t="s">
        <v>159</v>
      </c>
      <c r="G35" s="7"/>
      <c r="H35" s="7" t="s">
        <v>195</v>
      </c>
      <c r="I35" s="10"/>
      <c r="J35" s="10"/>
      <c r="K35" s="10"/>
    </row>
    <row r="36" customFormat="false" ht="15" hidden="false" customHeight="false" outlineLevel="0" collapsed="false">
      <c r="A36" s="7" t="s">
        <v>202</v>
      </c>
      <c r="B36" s="7" t="s">
        <v>156</v>
      </c>
      <c r="C36" s="7" t="s">
        <v>177</v>
      </c>
      <c r="D36" s="7" t="s">
        <v>166</v>
      </c>
      <c r="E36" s="22" t="n">
        <v>1.16</v>
      </c>
      <c r="F36" s="7" t="s">
        <v>159</v>
      </c>
      <c r="G36" s="7"/>
      <c r="H36" s="7" t="s">
        <v>195</v>
      </c>
      <c r="I36" s="10"/>
      <c r="J36" s="10"/>
      <c r="K36" s="10"/>
    </row>
    <row r="37" customFormat="false" ht="15" hidden="false" customHeight="false" outlineLevel="0" collapsed="false">
      <c r="A37" s="7" t="s">
        <v>203</v>
      </c>
      <c r="B37" s="7" t="s">
        <v>156</v>
      </c>
      <c r="C37" s="7" t="s">
        <v>177</v>
      </c>
      <c r="D37" s="7" t="s">
        <v>166</v>
      </c>
      <c r="E37" s="22" t="n">
        <v>1.16</v>
      </c>
      <c r="F37" s="7" t="s">
        <v>159</v>
      </c>
      <c r="G37" s="7"/>
      <c r="H37" s="7" t="s">
        <v>195</v>
      </c>
      <c r="I37" s="10"/>
      <c r="J37" s="10"/>
      <c r="K37" s="10"/>
    </row>
    <row r="38" customFormat="false" ht="15" hidden="false" customHeight="false" outlineLevel="0" collapsed="false">
      <c r="A38" s="7" t="s">
        <v>204</v>
      </c>
      <c r="B38" s="7" t="s">
        <v>156</v>
      </c>
      <c r="C38" s="7" t="s">
        <v>177</v>
      </c>
      <c r="D38" s="7" t="s">
        <v>166</v>
      </c>
      <c r="E38" s="22" t="n">
        <v>1.16</v>
      </c>
      <c r="F38" s="7" t="s">
        <v>159</v>
      </c>
      <c r="G38" s="7"/>
      <c r="H38" s="7" t="s">
        <v>195</v>
      </c>
      <c r="I38" s="10"/>
      <c r="J38" s="10"/>
      <c r="K38" s="10"/>
    </row>
    <row r="39" customFormat="false" ht="23.85" hidden="false" customHeight="false" outlineLevel="0" collapsed="false">
      <c r="A39" s="7" t="s">
        <v>205</v>
      </c>
      <c r="B39" s="7" t="s">
        <v>156</v>
      </c>
      <c r="C39" s="7" t="s">
        <v>206</v>
      </c>
      <c r="D39" s="7" t="s">
        <v>158</v>
      </c>
      <c r="E39" s="22" t="n">
        <v>1.16</v>
      </c>
      <c r="F39" s="7" t="s">
        <v>159</v>
      </c>
      <c r="G39" s="7"/>
      <c r="H39" s="7" t="s">
        <v>207</v>
      </c>
      <c r="I39" s="10"/>
      <c r="J39" s="10"/>
      <c r="K39" s="10"/>
    </row>
    <row r="40" customFormat="false" ht="23.85" hidden="false" customHeight="false" outlineLevel="0" collapsed="false">
      <c r="A40" s="7" t="s">
        <v>208</v>
      </c>
      <c r="B40" s="7" t="s">
        <v>156</v>
      </c>
      <c r="C40" s="7" t="s">
        <v>206</v>
      </c>
      <c r="D40" s="7" t="s">
        <v>158</v>
      </c>
      <c r="E40" s="22" t="n">
        <v>1.16</v>
      </c>
      <c r="F40" s="7" t="s">
        <v>159</v>
      </c>
      <c r="G40" s="7"/>
      <c r="H40" s="7" t="s">
        <v>209</v>
      </c>
      <c r="I40" s="10"/>
      <c r="J40" s="10"/>
      <c r="K40" s="10"/>
    </row>
    <row r="41" customFormat="false" ht="23.85" hidden="false" customHeight="false" outlineLevel="0" collapsed="false">
      <c r="A41" s="7" t="s">
        <v>210</v>
      </c>
      <c r="B41" s="7" t="s">
        <v>156</v>
      </c>
      <c r="C41" s="7" t="s">
        <v>206</v>
      </c>
      <c r="D41" s="7" t="s">
        <v>158</v>
      </c>
      <c r="E41" s="22" t="n">
        <v>1.16</v>
      </c>
      <c r="F41" s="7" t="s">
        <v>159</v>
      </c>
      <c r="G41" s="7"/>
      <c r="H41" s="7" t="s">
        <v>209</v>
      </c>
      <c r="I41" s="10"/>
      <c r="J41" s="10"/>
      <c r="K41" s="10"/>
    </row>
    <row r="42" customFormat="false" ht="23.85" hidden="false" customHeight="false" outlineLevel="0" collapsed="false">
      <c r="A42" s="7" t="s">
        <v>211</v>
      </c>
      <c r="B42" s="7" t="s">
        <v>156</v>
      </c>
      <c r="C42" s="7" t="s">
        <v>206</v>
      </c>
      <c r="D42" s="7" t="s">
        <v>158</v>
      </c>
      <c r="E42" s="22" t="n">
        <v>1.16</v>
      </c>
      <c r="F42" s="7" t="s">
        <v>159</v>
      </c>
      <c r="G42" s="7"/>
      <c r="H42" s="7" t="s">
        <v>207</v>
      </c>
      <c r="I42" s="10"/>
      <c r="J42" s="10"/>
      <c r="K42" s="10"/>
    </row>
    <row r="43" customFormat="false" ht="23.85" hidden="false" customHeight="false" outlineLevel="0" collapsed="false">
      <c r="A43" s="7" t="s">
        <v>212</v>
      </c>
      <c r="B43" s="7" t="s">
        <v>156</v>
      </c>
      <c r="C43" s="7" t="s">
        <v>206</v>
      </c>
      <c r="D43" s="7" t="s">
        <v>158</v>
      </c>
      <c r="E43" s="22" t="n">
        <v>1.16</v>
      </c>
      <c r="F43" s="7" t="s">
        <v>159</v>
      </c>
      <c r="G43" s="7"/>
      <c r="H43" s="7" t="s">
        <v>209</v>
      </c>
      <c r="I43" s="10"/>
      <c r="J43" s="10"/>
      <c r="K43" s="10"/>
    </row>
    <row r="44" customFormat="false" ht="46.25" hidden="false" customHeight="false" outlineLevel="0" collapsed="false">
      <c r="A44" s="7" t="s">
        <v>213</v>
      </c>
      <c r="B44" s="7" t="s">
        <v>214</v>
      </c>
      <c r="C44" s="7" t="s">
        <v>215</v>
      </c>
      <c r="D44" s="7" t="s">
        <v>216</v>
      </c>
      <c r="E44" s="22" t="n">
        <v>0.7</v>
      </c>
      <c r="F44" s="7" t="s">
        <v>217</v>
      </c>
      <c r="G44" s="7"/>
      <c r="H44" s="7" t="s">
        <v>218</v>
      </c>
      <c r="I44" s="10"/>
      <c r="J44" s="10"/>
      <c r="K44" s="10"/>
    </row>
    <row r="45" customFormat="false" ht="35.05" hidden="false" customHeight="false" outlineLevel="0" collapsed="false">
      <c r="A45" s="7" t="s">
        <v>219</v>
      </c>
      <c r="B45" s="7" t="s">
        <v>220</v>
      </c>
      <c r="C45" s="7" t="s">
        <v>221</v>
      </c>
      <c r="D45" s="7" t="s">
        <v>222</v>
      </c>
      <c r="E45" s="22" t="n">
        <v>0.1</v>
      </c>
      <c r="F45" s="7" t="s">
        <v>217</v>
      </c>
      <c r="G45" s="7"/>
      <c r="H45" s="7" t="s">
        <v>223</v>
      </c>
      <c r="I45" s="10"/>
      <c r="J45" s="10"/>
      <c r="K45" s="10"/>
    </row>
    <row r="46" customFormat="false" ht="46.25" hidden="false" customHeight="false" outlineLevel="0" collapsed="false">
      <c r="A46" s="7" t="s">
        <v>224</v>
      </c>
      <c r="B46" s="7" t="s">
        <v>214</v>
      </c>
      <c r="C46" s="7" t="s">
        <v>225</v>
      </c>
      <c r="D46" s="7" t="s">
        <v>226</v>
      </c>
      <c r="E46" s="22" t="n">
        <v>0</v>
      </c>
      <c r="F46" s="7" t="s">
        <v>217</v>
      </c>
      <c r="G46" s="7"/>
      <c r="H46" s="7" t="s">
        <v>227</v>
      </c>
      <c r="I46" s="10"/>
      <c r="J46" s="10"/>
      <c r="K46" s="10"/>
    </row>
    <row r="47" customFormat="false" ht="46.25" hidden="false" customHeight="false" outlineLevel="0" collapsed="false">
      <c r="A47" s="7" t="s">
        <v>228</v>
      </c>
      <c r="B47" s="7" t="s">
        <v>214</v>
      </c>
      <c r="C47" s="7" t="s">
        <v>229</v>
      </c>
      <c r="D47" s="7" t="s">
        <v>230</v>
      </c>
      <c r="E47" s="22" t="n">
        <v>0</v>
      </c>
      <c r="F47" s="7" t="s">
        <v>217</v>
      </c>
      <c r="G47" s="7"/>
      <c r="H47" s="7" t="s">
        <v>231</v>
      </c>
      <c r="I47" s="10"/>
      <c r="J47" s="10"/>
      <c r="K47" s="10"/>
    </row>
    <row r="48" customFormat="false" ht="46.25" hidden="false" customHeight="false" outlineLevel="0" collapsed="false">
      <c r="A48" s="7" t="s">
        <v>232</v>
      </c>
      <c r="B48" s="7" t="s">
        <v>214</v>
      </c>
      <c r="C48" s="7" t="s">
        <v>233</v>
      </c>
      <c r="D48" s="7" t="s">
        <v>226</v>
      </c>
      <c r="E48" s="22" t="n">
        <v>0</v>
      </c>
      <c r="F48" s="7" t="s">
        <v>217</v>
      </c>
      <c r="G48" s="7"/>
      <c r="H48" s="7" t="s">
        <v>234</v>
      </c>
      <c r="I48" s="10"/>
      <c r="J48" s="10"/>
      <c r="K48" s="10"/>
    </row>
    <row r="49" customFormat="false" ht="46.25" hidden="false" customHeight="false" outlineLevel="0" collapsed="false">
      <c r="A49" s="7" t="s">
        <v>235</v>
      </c>
      <c r="B49" s="7" t="s">
        <v>214</v>
      </c>
      <c r="C49" s="7" t="s">
        <v>236</v>
      </c>
      <c r="D49" s="7" t="s">
        <v>226</v>
      </c>
      <c r="E49" s="22" t="n">
        <v>0</v>
      </c>
      <c r="F49" s="7" t="s">
        <v>217</v>
      </c>
      <c r="G49" s="7"/>
      <c r="H49" s="7" t="s">
        <v>237</v>
      </c>
      <c r="I49" s="10"/>
      <c r="J49" s="10"/>
      <c r="K49" s="10"/>
    </row>
    <row r="50" customFormat="false" ht="46.25" hidden="false" customHeight="false" outlineLevel="0" collapsed="false">
      <c r="A50" s="7" t="s">
        <v>238</v>
      </c>
      <c r="B50" s="7" t="s">
        <v>214</v>
      </c>
      <c r="C50" s="7" t="s">
        <v>239</v>
      </c>
      <c r="D50" s="7" t="s">
        <v>226</v>
      </c>
      <c r="E50" s="22" t="n">
        <v>0</v>
      </c>
      <c r="F50" s="7" t="s">
        <v>217</v>
      </c>
      <c r="G50" s="7"/>
      <c r="H50" s="7" t="s">
        <v>240</v>
      </c>
      <c r="I50" s="10"/>
      <c r="J50" s="10"/>
      <c r="K50" s="10"/>
    </row>
    <row r="51" customFormat="false" ht="46.25" hidden="false" customHeight="false" outlineLevel="0" collapsed="false">
      <c r="A51" s="7" t="s">
        <v>241</v>
      </c>
      <c r="B51" s="7" t="s">
        <v>214</v>
      </c>
      <c r="C51" s="7" t="s">
        <v>239</v>
      </c>
      <c r="D51" s="7" t="s">
        <v>226</v>
      </c>
      <c r="E51" s="22" t="n">
        <v>0</v>
      </c>
      <c r="F51" s="7" t="s">
        <v>217</v>
      </c>
      <c r="G51" s="7"/>
      <c r="H51" s="7" t="s">
        <v>242</v>
      </c>
      <c r="I51" s="10"/>
      <c r="J51" s="10"/>
      <c r="K51" s="10"/>
    </row>
    <row r="52" customFormat="false" ht="46.25" hidden="false" customHeight="false" outlineLevel="0" collapsed="false">
      <c r="A52" s="7" t="s">
        <v>243</v>
      </c>
      <c r="B52" s="7" t="s">
        <v>214</v>
      </c>
      <c r="C52" s="7" t="s">
        <v>239</v>
      </c>
      <c r="D52" s="7" t="s">
        <v>226</v>
      </c>
      <c r="E52" s="22" t="n">
        <v>0</v>
      </c>
      <c r="F52" s="7" t="s">
        <v>217</v>
      </c>
      <c r="G52" s="7"/>
      <c r="H52" s="7" t="s">
        <v>242</v>
      </c>
      <c r="I52" s="10"/>
      <c r="J52" s="10"/>
      <c r="K52" s="10"/>
    </row>
    <row r="53" customFormat="false" ht="46.25" hidden="false" customHeight="false" outlineLevel="0" collapsed="false">
      <c r="A53" s="7" t="s">
        <v>244</v>
      </c>
      <c r="B53" s="7" t="s">
        <v>220</v>
      </c>
      <c r="C53" s="7" t="s">
        <v>245</v>
      </c>
      <c r="D53" s="7" t="s">
        <v>246</v>
      </c>
      <c r="E53" s="22" t="n">
        <v>0</v>
      </c>
      <c r="F53" s="7" t="s">
        <v>217</v>
      </c>
      <c r="G53" s="7"/>
      <c r="H53" s="7" t="s">
        <v>247</v>
      </c>
      <c r="I53" s="10"/>
      <c r="J53" s="10"/>
      <c r="K53" s="10"/>
    </row>
    <row r="54" customFormat="false" ht="46.25" hidden="false" customHeight="false" outlineLevel="0" collapsed="false">
      <c r="A54" s="7" t="s">
        <v>248</v>
      </c>
      <c r="B54" s="7" t="s">
        <v>214</v>
      </c>
      <c r="C54" s="7" t="s">
        <v>236</v>
      </c>
      <c r="D54" s="7" t="s">
        <v>226</v>
      </c>
      <c r="E54" s="22" t="n">
        <v>0</v>
      </c>
      <c r="F54" s="7" t="s">
        <v>217</v>
      </c>
      <c r="G54" s="7"/>
      <c r="H54" s="7" t="s">
        <v>249</v>
      </c>
      <c r="I54" s="10"/>
      <c r="J54" s="10"/>
      <c r="K54" s="10"/>
    </row>
    <row r="55" customFormat="false" ht="46.25" hidden="false" customHeight="false" outlineLevel="0" collapsed="false">
      <c r="A55" s="7" t="s">
        <v>250</v>
      </c>
      <c r="B55" s="7" t="s">
        <v>214</v>
      </c>
      <c r="C55" s="7" t="s">
        <v>239</v>
      </c>
      <c r="D55" s="7" t="s">
        <v>226</v>
      </c>
      <c r="E55" s="22" t="n">
        <v>0</v>
      </c>
      <c r="F55" s="7" t="s">
        <v>217</v>
      </c>
      <c r="G55" s="7"/>
      <c r="H55" s="7" t="s">
        <v>242</v>
      </c>
      <c r="I55" s="10"/>
      <c r="J55" s="10"/>
      <c r="K55" s="10"/>
    </row>
    <row r="56" customFormat="false" ht="46.25" hidden="false" customHeight="false" outlineLevel="0" collapsed="false">
      <c r="A56" s="7" t="s">
        <v>251</v>
      </c>
      <c r="B56" s="7" t="s">
        <v>214</v>
      </c>
      <c r="C56" s="7" t="s">
        <v>239</v>
      </c>
      <c r="D56" s="7" t="s">
        <v>226</v>
      </c>
      <c r="E56" s="22" t="n">
        <v>0</v>
      </c>
      <c r="F56" s="7" t="s">
        <v>217</v>
      </c>
      <c r="G56" s="7"/>
      <c r="H56" s="7" t="s">
        <v>240</v>
      </c>
      <c r="I56" s="10"/>
      <c r="J56" s="10"/>
      <c r="K56" s="10"/>
    </row>
    <row r="57" customFormat="false" ht="46.25" hidden="false" customHeight="false" outlineLevel="0" collapsed="false">
      <c r="A57" s="7" t="s">
        <v>252</v>
      </c>
      <c r="B57" s="7" t="s">
        <v>214</v>
      </c>
      <c r="C57" s="7" t="s">
        <v>253</v>
      </c>
      <c r="D57" s="7" t="s">
        <v>226</v>
      </c>
      <c r="E57" s="22" t="n">
        <v>0</v>
      </c>
      <c r="F57" s="7" t="s">
        <v>217</v>
      </c>
      <c r="G57" s="7"/>
      <c r="H57" s="7" t="s">
        <v>254</v>
      </c>
      <c r="I57" s="10"/>
      <c r="J57" s="10"/>
      <c r="K57" s="10"/>
    </row>
    <row r="58" customFormat="false" ht="46.25" hidden="false" customHeight="false" outlineLevel="0" collapsed="false">
      <c r="A58" s="7" t="s">
        <v>255</v>
      </c>
      <c r="B58" s="7" t="s">
        <v>214</v>
      </c>
      <c r="C58" s="7" t="s">
        <v>239</v>
      </c>
      <c r="D58" s="7" t="s">
        <v>226</v>
      </c>
      <c r="E58" s="22" t="n">
        <v>0</v>
      </c>
      <c r="F58" s="7" t="s">
        <v>217</v>
      </c>
      <c r="G58" s="7"/>
      <c r="H58" s="7" t="s">
        <v>256</v>
      </c>
      <c r="I58" s="10"/>
      <c r="J58" s="10"/>
      <c r="K58" s="10"/>
    </row>
    <row r="59" customFormat="false" ht="46.25" hidden="false" customHeight="false" outlineLevel="0" collapsed="false">
      <c r="A59" s="7" t="s">
        <v>257</v>
      </c>
      <c r="B59" s="7" t="s">
        <v>214</v>
      </c>
      <c r="C59" s="7" t="s">
        <v>258</v>
      </c>
      <c r="D59" s="7" t="s">
        <v>259</v>
      </c>
      <c r="E59" s="22" t="n">
        <v>0</v>
      </c>
      <c r="F59" s="7" t="s">
        <v>217</v>
      </c>
      <c r="G59" s="7"/>
      <c r="H59" s="7" t="s">
        <v>260</v>
      </c>
      <c r="I59" s="10"/>
      <c r="J59" s="10"/>
      <c r="K59" s="10"/>
    </row>
    <row r="60" customFormat="false" ht="46.25" hidden="false" customHeight="false" outlineLevel="0" collapsed="false">
      <c r="A60" s="7" t="s">
        <v>261</v>
      </c>
      <c r="B60" s="7" t="s">
        <v>214</v>
      </c>
      <c r="C60" s="7" t="s">
        <v>215</v>
      </c>
      <c r="D60" s="7" t="s">
        <v>226</v>
      </c>
      <c r="E60" s="22" t="n">
        <v>0</v>
      </c>
      <c r="F60" s="7" t="s">
        <v>217</v>
      </c>
      <c r="G60" s="7"/>
      <c r="H60" s="7" t="s">
        <v>262</v>
      </c>
      <c r="I60" s="10"/>
      <c r="J60" s="10"/>
      <c r="K60" s="10"/>
    </row>
    <row r="61" customFormat="false" ht="46.25" hidden="false" customHeight="false" outlineLevel="0" collapsed="false">
      <c r="A61" s="7" t="s">
        <v>263</v>
      </c>
      <c r="B61" s="7" t="s">
        <v>214</v>
      </c>
      <c r="C61" s="7" t="s">
        <v>215</v>
      </c>
      <c r="D61" s="7" t="s">
        <v>226</v>
      </c>
      <c r="E61" s="22" t="n">
        <v>0</v>
      </c>
      <c r="F61" s="7" t="s">
        <v>217</v>
      </c>
      <c r="G61" s="7"/>
      <c r="H61" s="7" t="s">
        <v>240</v>
      </c>
      <c r="I61" s="10"/>
      <c r="J61" s="10"/>
      <c r="K61" s="10"/>
    </row>
    <row r="62" customFormat="false" ht="46.25" hidden="false" customHeight="false" outlineLevel="0" collapsed="false">
      <c r="A62" s="7" t="s">
        <v>264</v>
      </c>
      <c r="B62" s="7" t="s">
        <v>214</v>
      </c>
      <c r="C62" s="7" t="s">
        <v>265</v>
      </c>
      <c r="D62" s="7" t="s">
        <v>259</v>
      </c>
      <c r="E62" s="22" t="n">
        <v>0</v>
      </c>
      <c r="F62" s="7" t="s">
        <v>217</v>
      </c>
      <c r="G62" s="7"/>
      <c r="H62" s="7" t="s">
        <v>266</v>
      </c>
      <c r="I62" s="10"/>
      <c r="J62" s="10"/>
      <c r="K62" s="10"/>
    </row>
    <row r="63" customFormat="false" ht="46.25" hidden="false" customHeight="false" outlineLevel="0" collapsed="false">
      <c r="A63" s="7" t="s">
        <v>267</v>
      </c>
      <c r="B63" s="7" t="s">
        <v>214</v>
      </c>
      <c r="C63" s="7" t="s">
        <v>239</v>
      </c>
      <c r="D63" s="7" t="s">
        <v>259</v>
      </c>
      <c r="E63" s="22" t="n">
        <v>0</v>
      </c>
      <c r="F63" s="7" t="s">
        <v>217</v>
      </c>
      <c r="G63" s="7"/>
      <c r="H63" s="7" t="s">
        <v>268</v>
      </c>
      <c r="I63" s="10"/>
      <c r="J63" s="10"/>
      <c r="K63" s="10"/>
    </row>
    <row r="64" customFormat="false" ht="46.25" hidden="false" customHeight="false" outlineLevel="0" collapsed="false">
      <c r="A64" s="7" t="s">
        <v>269</v>
      </c>
      <c r="B64" s="7" t="s">
        <v>220</v>
      </c>
      <c r="C64" s="7" t="s">
        <v>245</v>
      </c>
      <c r="D64" s="7" t="s">
        <v>246</v>
      </c>
      <c r="E64" s="22" t="n">
        <v>0</v>
      </c>
      <c r="F64" s="7" t="s">
        <v>217</v>
      </c>
      <c r="G64" s="7"/>
      <c r="H64" s="7" t="s">
        <v>270</v>
      </c>
      <c r="I64" s="10"/>
      <c r="J64" s="10"/>
      <c r="K64" s="10"/>
    </row>
    <row r="65" customFormat="false" ht="46.25" hidden="false" customHeight="false" outlineLevel="0" collapsed="false">
      <c r="A65" s="7" t="s">
        <v>271</v>
      </c>
      <c r="B65" s="7" t="s">
        <v>214</v>
      </c>
      <c r="C65" s="7" t="s">
        <v>272</v>
      </c>
      <c r="D65" s="7" t="s">
        <v>226</v>
      </c>
      <c r="E65" s="22" t="n">
        <v>0</v>
      </c>
      <c r="F65" s="7" t="s">
        <v>217</v>
      </c>
      <c r="G65" s="7"/>
      <c r="H65" s="7" t="s">
        <v>273</v>
      </c>
      <c r="I65" s="10"/>
      <c r="J65" s="10"/>
      <c r="K65" s="10"/>
    </row>
    <row r="66" customFormat="false" ht="46.25" hidden="false" customHeight="false" outlineLevel="0" collapsed="false">
      <c r="A66" s="7" t="s">
        <v>274</v>
      </c>
      <c r="B66" s="7" t="s">
        <v>214</v>
      </c>
      <c r="C66" s="7" t="s">
        <v>272</v>
      </c>
      <c r="D66" s="7" t="s">
        <v>226</v>
      </c>
      <c r="E66" s="22" t="n">
        <v>0</v>
      </c>
      <c r="F66" s="7" t="s">
        <v>217</v>
      </c>
      <c r="G66" s="7"/>
      <c r="H66" s="7" t="s">
        <v>242</v>
      </c>
      <c r="I66" s="10"/>
      <c r="J66" s="10"/>
      <c r="K66" s="10"/>
    </row>
    <row r="67" customFormat="false" ht="46.25" hidden="false" customHeight="false" outlineLevel="0" collapsed="false">
      <c r="A67" s="7" t="s">
        <v>275</v>
      </c>
      <c r="B67" s="7" t="s">
        <v>214</v>
      </c>
      <c r="C67" s="7" t="s">
        <v>276</v>
      </c>
      <c r="D67" s="7" t="s">
        <v>259</v>
      </c>
      <c r="E67" s="22" t="n">
        <v>0</v>
      </c>
      <c r="F67" s="7" t="s">
        <v>217</v>
      </c>
      <c r="G67" s="7"/>
      <c r="H67" s="7" t="s">
        <v>277</v>
      </c>
      <c r="I67" s="10"/>
      <c r="J67" s="10"/>
      <c r="K67" s="10"/>
    </row>
    <row r="68" customFormat="false" ht="23.85" hidden="false" customHeight="false" outlineLevel="0" collapsed="false">
      <c r="A68" s="7" t="s">
        <v>278</v>
      </c>
      <c r="B68" s="7" t="s">
        <v>214</v>
      </c>
      <c r="C68" s="7" t="s">
        <v>276</v>
      </c>
      <c r="D68" s="7" t="s">
        <v>259</v>
      </c>
      <c r="E68" s="22" t="n">
        <v>0</v>
      </c>
      <c r="F68" s="7" t="s">
        <v>217</v>
      </c>
      <c r="G68" s="7"/>
      <c r="H68" s="7" t="s">
        <v>279</v>
      </c>
      <c r="I68" s="10"/>
      <c r="J68" s="10"/>
      <c r="K68" s="10"/>
    </row>
    <row r="69" customFormat="false" ht="46.25" hidden="false" customHeight="false" outlineLevel="0" collapsed="false">
      <c r="A69" s="7" t="s">
        <v>280</v>
      </c>
      <c r="B69" s="7" t="s">
        <v>214</v>
      </c>
      <c r="C69" s="7" t="s">
        <v>281</v>
      </c>
      <c r="D69" s="7" t="s">
        <v>226</v>
      </c>
      <c r="E69" s="22" t="n">
        <v>0</v>
      </c>
      <c r="F69" s="7" t="s">
        <v>282</v>
      </c>
      <c r="G69" s="7"/>
      <c r="H69" s="7" t="s">
        <v>283</v>
      </c>
      <c r="I69" s="10"/>
      <c r="J69" s="10"/>
      <c r="K69" s="10"/>
    </row>
    <row r="70" customFormat="false" ht="46.25" hidden="false" customHeight="false" outlineLevel="0" collapsed="false">
      <c r="A70" s="7" t="s">
        <v>284</v>
      </c>
      <c r="B70" s="7" t="s">
        <v>214</v>
      </c>
      <c r="C70" s="7" t="s">
        <v>285</v>
      </c>
      <c r="D70" s="7" t="s">
        <v>286</v>
      </c>
      <c r="E70" s="22" t="n">
        <v>3</v>
      </c>
      <c r="F70" s="7" t="s">
        <v>287</v>
      </c>
      <c r="G70" s="7"/>
      <c r="H70" s="7" t="s">
        <v>288</v>
      </c>
      <c r="I70" s="10"/>
      <c r="J70" s="10"/>
      <c r="K70" s="10"/>
    </row>
    <row r="71" customFormat="false" ht="46.25" hidden="false" customHeight="false" outlineLevel="0" collapsed="false">
      <c r="A71" s="7" t="s">
        <v>289</v>
      </c>
      <c r="B71" s="7" t="s">
        <v>214</v>
      </c>
      <c r="C71" s="7" t="s">
        <v>285</v>
      </c>
      <c r="D71" s="7" t="s">
        <v>286</v>
      </c>
      <c r="E71" s="22" t="n">
        <v>2</v>
      </c>
      <c r="F71" s="7" t="s">
        <v>287</v>
      </c>
      <c r="G71" s="7"/>
      <c r="H71" s="7" t="s">
        <v>290</v>
      </c>
      <c r="I71" s="10"/>
      <c r="J71" s="10"/>
      <c r="K71" s="10"/>
    </row>
    <row r="72" customFormat="false" ht="35.05" hidden="false" customHeight="false" outlineLevel="0" collapsed="false">
      <c r="A72" s="7" t="s">
        <v>291</v>
      </c>
      <c r="B72" s="7" t="s">
        <v>214</v>
      </c>
      <c r="C72" s="7" t="s">
        <v>285</v>
      </c>
      <c r="D72" s="7" t="s">
        <v>286</v>
      </c>
      <c r="E72" s="22" t="n">
        <v>1</v>
      </c>
      <c r="F72" s="7" t="s">
        <v>287</v>
      </c>
      <c r="G72" s="7"/>
      <c r="H72" s="7" t="s">
        <v>292</v>
      </c>
      <c r="I72" s="10"/>
      <c r="J72" s="10"/>
      <c r="K72" s="10"/>
    </row>
    <row r="73" customFormat="false" ht="23.85" hidden="false" customHeight="false" outlineLevel="0" collapsed="false">
      <c r="A73" s="7" t="s">
        <v>293</v>
      </c>
      <c r="B73" s="7" t="s">
        <v>214</v>
      </c>
      <c r="C73" s="7" t="s">
        <v>285</v>
      </c>
      <c r="D73" s="7" t="s">
        <v>286</v>
      </c>
      <c r="E73" s="22" t="n">
        <v>1</v>
      </c>
      <c r="F73" s="7" t="s">
        <v>287</v>
      </c>
      <c r="G73" s="7"/>
      <c r="H73" s="7" t="s">
        <v>294</v>
      </c>
      <c r="I73" s="10"/>
      <c r="J73" s="10"/>
      <c r="K73" s="10"/>
    </row>
    <row r="74" customFormat="false" ht="23.85" hidden="false" customHeight="false" outlineLevel="0" collapsed="false">
      <c r="A74" s="7" t="s">
        <v>295</v>
      </c>
      <c r="B74" s="7" t="s">
        <v>214</v>
      </c>
      <c r="C74" s="7" t="s">
        <v>281</v>
      </c>
      <c r="D74" s="7" t="s">
        <v>296</v>
      </c>
      <c r="E74" s="22" t="n">
        <v>1</v>
      </c>
      <c r="F74" s="7" t="s">
        <v>287</v>
      </c>
      <c r="G74" s="7"/>
      <c r="H74" s="7" t="s">
        <v>297</v>
      </c>
      <c r="I74" s="10"/>
      <c r="J74" s="10"/>
      <c r="K74" s="10"/>
    </row>
    <row r="75" customFormat="false" ht="23.85" hidden="false" customHeight="false" outlineLevel="0" collapsed="false">
      <c r="A75" s="7" t="s">
        <v>298</v>
      </c>
      <c r="B75" s="7" t="s">
        <v>214</v>
      </c>
      <c r="C75" s="7" t="s">
        <v>281</v>
      </c>
      <c r="D75" s="7" t="s">
        <v>296</v>
      </c>
      <c r="E75" s="22" t="n">
        <v>0.5</v>
      </c>
      <c r="F75" s="7" t="s">
        <v>287</v>
      </c>
      <c r="G75" s="7"/>
      <c r="H75" s="7" t="s">
        <v>299</v>
      </c>
      <c r="I75" s="10"/>
      <c r="J75" s="10"/>
      <c r="K75" s="10"/>
    </row>
    <row r="76" customFormat="false" ht="46.25" hidden="false" customHeight="false" outlineLevel="0" collapsed="false">
      <c r="A76" s="7" t="s">
        <v>300</v>
      </c>
      <c r="B76" s="7" t="s">
        <v>214</v>
      </c>
      <c r="C76" s="7" t="s">
        <v>281</v>
      </c>
      <c r="D76" s="7" t="s">
        <v>259</v>
      </c>
      <c r="E76" s="22" t="n">
        <v>2</v>
      </c>
      <c r="F76" s="7" t="s">
        <v>301</v>
      </c>
      <c r="G76" s="7"/>
      <c r="H76" s="7" t="s">
        <v>302</v>
      </c>
      <c r="I76" s="10"/>
      <c r="J76" s="10"/>
      <c r="K76" s="10"/>
    </row>
    <row r="77" customFormat="false" ht="46.25" hidden="false" customHeight="false" outlineLevel="0" collapsed="false">
      <c r="A77" s="7" t="s">
        <v>303</v>
      </c>
      <c r="B77" s="7" t="s">
        <v>214</v>
      </c>
      <c r="C77" s="7" t="s">
        <v>253</v>
      </c>
      <c r="D77" s="7" t="s">
        <v>286</v>
      </c>
      <c r="E77" s="22" t="n">
        <v>51</v>
      </c>
      <c r="F77" s="7" t="s">
        <v>304</v>
      </c>
      <c r="G77" s="7"/>
      <c r="H77" s="7" t="s">
        <v>305</v>
      </c>
      <c r="I77" s="10"/>
      <c r="J77" s="10"/>
      <c r="K77" s="10"/>
    </row>
    <row r="78" customFormat="false" ht="46.25" hidden="false" customHeight="false" outlineLevel="0" collapsed="false">
      <c r="A78" s="7" t="s">
        <v>306</v>
      </c>
      <c r="B78" s="7" t="s">
        <v>156</v>
      </c>
      <c r="C78" s="7" t="s">
        <v>307</v>
      </c>
      <c r="D78" s="7" t="s">
        <v>308</v>
      </c>
      <c r="E78" s="22" t="n">
        <v>19.5</v>
      </c>
      <c r="F78" s="7" t="s">
        <v>304</v>
      </c>
      <c r="G78" s="7"/>
      <c r="H78" s="7" t="s">
        <v>309</v>
      </c>
      <c r="I78" s="10"/>
      <c r="J78" s="10"/>
      <c r="K78" s="10"/>
    </row>
    <row r="79" customFormat="false" ht="23.85" hidden="false" customHeight="false" outlineLevel="0" collapsed="false">
      <c r="A79" s="7" t="s">
        <v>310</v>
      </c>
      <c r="B79" s="7" t="s">
        <v>214</v>
      </c>
      <c r="C79" s="7" t="s">
        <v>311</v>
      </c>
      <c r="D79" s="7" t="s">
        <v>259</v>
      </c>
      <c r="E79" s="22" t="n">
        <v>4</v>
      </c>
      <c r="F79" s="7" t="s">
        <v>312</v>
      </c>
      <c r="G79" s="7"/>
      <c r="H79" s="7" t="s">
        <v>313</v>
      </c>
      <c r="I79" s="10"/>
      <c r="J79" s="10"/>
      <c r="K79" s="10"/>
    </row>
    <row r="80" customFormat="false" ht="15" hidden="false" customHeight="false" outlineLevel="0" collapsed="false">
      <c r="A80" s="7" t="s">
        <v>314</v>
      </c>
      <c r="B80" s="7" t="s">
        <v>156</v>
      </c>
      <c r="C80" s="7" t="s">
        <v>162</v>
      </c>
      <c r="D80" s="7" t="s">
        <v>315</v>
      </c>
      <c r="E80" s="22" t="n">
        <v>3.5</v>
      </c>
      <c r="F80" s="7" t="s">
        <v>312</v>
      </c>
      <c r="G80" s="7"/>
      <c r="H80" s="7" t="s">
        <v>316</v>
      </c>
      <c r="I80" s="10"/>
      <c r="J80" s="10"/>
      <c r="K80" s="10"/>
    </row>
    <row r="81" customFormat="false" ht="35.05" hidden="false" customHeight="false" outlineLevel="0" collapsed="false">
      <c r="A81" s="7" t="s">
        <v>317</v>
      </c>
      <c r="B81" s="7" t="s">
        <v>156</v>
      </c>
      <c r="C81" s="7" t="s">
        <v>162</v>
      </c>
      <c r="D81" s="7" t="s">
        <v>318</v>
      </c>
      <c r="E81" s="22" t="n">
        <v>2.5</v>
      </c>
      <c r="F81" s="7" t="s">
        <v>312</v>
      </c>
      <c r="G81" s="7"/>
      <c r="H81" s="7" t="s">
        <v>319</v>
      </c>
      <c r="I81" s="10"/>
      <c r="J81" s="10"/>
      <c r="K81" s="10"/>
    </row>
    <row r="82" customFormat="false" ht="46.25" hidden="false" customHeight="false" outlineLevel="0" collapsed="false">
      <c r="A82" s="7" t="s">
        <v>320</v>
      </c>
      <c r="B82" s="7" t="s">
        <v>214</v>
      </c>
      <c r="C82" s="7" t="s">
        <v>225</v>
      </c>
      <c r="D82" s="7" t="s">
        <v>321</v>
      </c>
      <c r="E82" s="22" t="n">
        <v>2.1</v>
      </c>
      <c r="F82" s="7" t="s">
        <v>312</v>
      </c>
      <c r="G82" s="7"/>
      <c r="H82" s="7" t="s">
        <v>322</v>
      </c>
      <c r="I82" s="10"/>
      <c r="J82" s="10"/>
      <c r="K82" s="10"/>
    </row>
    <row r="83" customFormat="false" ht="46.25" hidden="false" customHeight="false" outlineLevel="0" collapsed="false">
      <c r="A83" s="7" t="s">
        <v>323</v>
      </c>
      <c r="B83" s="7" t="s">
        <v>214</v>
      </c>
      <c r="C83" s="7" t="s">
        <v>253</v>
      </c>
      <c r="D83" s="7" t="s">
        <v>321</v>
      </c>
      <c r="E83" s="22" t="n">
        <v>2.1</v>
      </c>
      <c r="F83" s="7" t="s">
        <v>312</v>
      </c>
      <c r="G83" s="7"/>
      <c r="H83" s="7" t="s">
        <v>322</v>
      </c>
      <c r="I83" s="10"/>
      <c r="J83" s="10"/>
      <c r="K83" s="10"/>
    </row>
    <row r="84" customFormat="false" ht="46.25" hidden="false" customHeight="false" outlineLevel="0" collapsed="false">
      <c r="A84" s="7" t="s">
        <v>324</v>
      </c>
      <c r="B84" s="7" t="s">
        <v>214</v>
      </c>
      <c r="C84" s="7" t="s">
        <v>325</v>
      </c>
      <c r="D84" s="7" t="s">
        <v>321</v>
      </c>
      <c r="E84" s="22" t="n">
        <v>2.1</v>
      </c>
      <c r="F84" s="7" t="s">
        <v>312</v>
      </c>
      <c r="G84" s="7"/>
      <c r="H84" s="7" t="s">
        <v>322</v>
      </c>
      <c r="I84" s="10"/>
      <c r="J84" s="10"/>
      <c r="K84" s="10"/>
    </row>
    <row r="85" customFormat="false" ht="15" hidden="false" customHeight="false" outlineLevel="0" collapsed="false">
      <c r="A85" s="7" t="s">
        <v>326</v>
      </c>
      <c r="B85" s="7" t="s">
        <v>214</v>
      </c>
      <c r="C85" s="7" t="s">
        <v>225</v>
      </c>
      <c r="D85" s="7" t="s">
        <v>327</v>
      </c>
      <c r="E85" s="22" t="n">
        <v>2</v>
      </c>
      <c r="F85" s="7" t="s">
        <v>312</v>
      </c>
      <c r="G85" s="7"/>
      <c r="H85" s="7" t="s">
        <v>328</v>
      </c>
      <c r="I85" s="10"/>
      <c r="J85" s="10"/>
      <c r="K85" s="10"/>
    </row>
    <row r="86" customFormat="false" ht="46.25" hidden="false" customHeight="false" outlineLevel="0" collapsed="false">
      <c r="A86" s="7" t="s">
        <v>329</v>
      </c>
      <c r="B86" s="7" t="s">
        <v>214</v>
      </c>
      <c r="C86" s="7" t="s">
        <v>330</v>
      </c>
      <c r="D86" s="7" t="s">
        <v>321</v>
      </c>
      <c r="E86" s="22" t="n">
        <v>0.4</v>
      </c>
      <c r="F86" s="7" t="s">
        <v>312</v>
      </c>
      <c r="G86" s="7"/>
      <c r="H86" s="7" t="s">
        <v>331</v>
      </c>
      <c r="I86" s="10"/>
      <c r="J86" s="10"/>
      <c r="K86" s="10"/>
    </row>
    <row r="87" customFormat="false" ht="46.25" hidden="false" customHeight="false" outlineLevel="0" collapsed="false">
      <c r="A87" s="7" t="s">
        <v>332</v>
      </c>
      <c r="B87" s="7" t="s">
        <v>214</v>
      </c>
      <c r="C87" s="7" t="s">
        <v>333</v>
      </c>
      <c r="D87" s="7" t="s">
        <v>321</v>
      </c>
      <c r="E87" s="22" t="n">
        <v>0.4</v>
      </c>
      <c r="F87" s="7" t="s">
        <v>312</v>
      </c>
      <c r="G87" s="7"/>
      <c r="H87" s="7" t="s">
        <v>334</v>
      </c>
      <c r="I87" s="10"/>
      <c r="J87" s="10"/>
      <c r="K87" s="10"/>
    </row>
    <row r="88" customFormat="false" ht="46.25" hidden="false" customHeight="false" outlineLevel="0" collapsed="false">
      <c r="A88" s="7" t="s">
        <v>335</v>
      </c>
      <c r="B88" s="7" t="s">
        <v>214</v>
      </c>
      <c r="C88" s="7" t="s">
        <v>336</v>
      </c>
      <c r="D88" s="7" t="s">
        <v>321</v>
      </c>
      <c r="E88" s="22" t="n">
        <v>0.4</v>
      </c>
      <c r="F88" s="7" t="s">
        <v>312</v>
      </c>
      <c r="G88" s="7"/>
      <c r="H88" s="7" t="s">
        <v>331</v>
      </c>
      <c r="I88" s="10"/>
      <c r="J88" s="10"/>
      <c r="K88" s="10"/>
    </row>
    <row r="89" customFormat="false" ht="46.25" hidden="false" customHeight="false" outlineLevel="0" collapsed="false">
      <c r="A89" s="7" t="s">
        <v>337</v>
      </c>
      <c r="B89" s="7" t="s">
        <v>214</v>
      </c>
      <c r="C89" s="7" t="s">
        <v>338</v>
      </c>
      <c r="D89" s="7" t="s">
        <v>321</v>
      </c>
      <c r="E89" s="22" t="n">
        <v>0.4</v>
      </c>
      <c r="F89" s="7" t="s">
        <v>312</v>
      </c>
      <c r="G89" s="7"/>
      <c r="H89" s="7" t="s">
        <v>339</v>
      </c>
      <c r="I89" s="10"/>
      <c r="J89" s="10"/>
      <c r="K89" s="10"/>
    </row>
    <row r="90" customFormat="false" ht="46.25" hidden="false" customHeight="false" outlineLevel="0" collapsed="false">
      <c r="A90" s="7" t="s">
        <v>340</v>
      </c>
      <c r="B90" s="7" t="s">
        <v>214</v>
      </c>
      <c r="C90" s="7" t="s">
        <v>341</v>
      </c>
      <c r="D90" s="7" t="s">
        <v>321</v>
      </c>
      <c r="E90" s="22" t="n">
        <v>0.4</v>
      </c>
      <c r="F90" s="7" t="s">
        <v>312</v>
      </c>
      <c r="G90" s="7"/>
      <c r="H90" s="7" t="s">
        <v>342</v>
      </c>
      <c r="I90" s="10"/>
      <c r="J90" s="10"/>
      <c r="K90" s="10"/>
    </row>
    <row r="91" customFormat="false" ht="46.25" hidden="false" customHeight="false" outlineLevel="0" collapsed="false">
      <c r="A91" s="7" t="s">
        <v>343</v>
      </c>
      <c r="B91" s="7" t="s">
        <v>214</v>
      </c>
      <c r="C91" s="7" t="s">
        <v>311</v>
      </c>
      <c r="D91" s="7" t="s">
        <v>321</v>
      </c>
      <c r="E91" s="22" t="n">
        <v>0.4</v>
      </c>
      <c r="F91" s="7" t="s">
        <v>312</v>
      </c>
      <c r="G91" s="7"/>
      <c r="H91" s="7" t="s">
        <v>342</v>
      </c>
      <c r="I91" s="10"/>
      <c r="J91" s="10"/>
      <c r="K91" s="10"/>
    </row>
    <row r="92" customFormat="false" ht="46.25" hidden="false" customHeight="false" outlineLevel="0" collapsed="false">
      <c r="A92" s="7" t="s">
        <v>344</v>
      </c>
      <c r="B92" s="7" t="s">
        <v>214</v>
      </c>
      <c r="C92" s="7" t="s">
        <v>233</v>
      </c>
      <c r="D92" s="7" t="s">
        <v>321</v>
      </c>
      <c r="E92" s="22" t="n">
        <v>0.4</v>
      </c>
      <c r="F92" s="7" t="s">
        <v>312</v>
      </c>
      <c r="G92" s="7"/>
      <c r="H92" s="7" t="s">
        <v>342</v>
      </c>
      <c r="I92" s="10"/>
      <c r="J92" s="10"/>
      <c r="K92" s="10"/>
    </row>
    <row r="93" customFormat="false" ht="23.85" hidden="false" customHeight="false" outlineLevel="0" collapsed="false">
      <c r="A93" s="7" t="s">
        <v>345</v>
      </c>
      <c r="B93" s="7" t="s">
        <v>214</v>
      </c>
      <c r="C93" s="7" t="s">
        <v>338</v>
      </c>
      <c r="D93" s="7" t="s">
        <v>286</v>
      </c>
      <c r="E93" s="22" t="n">
        <v>0.1</v>
      </c>
      <c r="F93" s="7" t="s">
        <v>312</v>
      </c>
      <c r="G93" s="7"/>
      <c r="H93" s="7" t="s">
        <v>346</v>
      </c>
      <c r="I93" s="10"/>
      <c r="J93" s="10"/>
      <c r="K93" s="10"/>
    </row>
    <row r="94" customFormat="false" ht="23.85" hidden="false" customHeight="false" outlineLevel="0" collapsed="false">
      <c r="A94" s="7" t="s">
        <v>347</v>
      </c>
      <c r="B94" s="7" t="s">
        <v>214</v>
      </c>
      <c r="C94" s="7" t="s">
        <v>341</v>
      </c>
      <c r="D94" s="7" t="s">
        <v>286</v>
      </c>
      <c r="E94" s="22" t="n">
        <v>0.1</v>
      </c>
      <c r="F94" s="7" t="s">
        <v>312</v>
      </c>
      <c r="G94" s="7"/>
      <c r="H94" s="7" t="s">
        <v>346</v>
      </c>
      <c r="I94" s="10"/>
      <c r="J94" s="10"/>
      <c r="K94" s="10"/>
    </row>
    <row r="95" customFormat="false" ht="15" hidden="false" customHeight="false" outlineLevel="0" collapsed="false">
      <c r="A95" s="7" t="s">
        <v>348</v>
      </c>
      <c r="B95" s="7" t="s">
        <v>220</v>
      </c>
      <c r="C95" s="7" t="s">
        <v>349</v>
      </c>
      <c r="D95" s="7" t="s">
        <v>350</v>
      </c>
      <c r="E95" s="22" t="n">
        <v>0.1</v>
      </c>
      <c r="F95" s="7" t="s">
        <v>312</v>
      </c>
      <c r="G95" s="7"/>
      <c r="H95" s="7" t="s">
        <v>351</v>
      </c>
      <c r="I95" s="10"/>
      <c r="J95" s="10"/>
      <c r="K95" s="10"/>
    </row>
    <row r="96" customFormat="false" ht="46.25" hidden="false" customHeight="false" outlineLevel="0" collapsed="false">
      <c r="A96" s="7" t="s">
        <v>352</v>
      </c>
      <c r="B96" s="7" t="s">
        <v>214</v>
      </c>
      <c r="C96" s="7" t="s">
        <v>353</v>
      </c>
      <c r="D96" s="7" t="s">
        <v>354</v>
      </c>
      <c r="E96" s="22" t="n">
        <v>0</v>
      </c>
      <c r="F96" s="7" t="s">
        <v>312</v>
      </c>
      <c r="G96" s="7"/>
      <c r="H96" s="7" t="s">
        <v>355</v>
      </c>
      <c r="I96" s="10"/>
      <c r="J96" s="10"/>
      <c r="K96" s="10"/>
    </row>
    <row r="97" customFormat="false" ht="23.85" hidden="false" customHeight="false" outlineLevel="0" collapsed="false">
      <c r="A97" s="7" t="s">
        <v>356</v>
      </c>
      <c r="B97" s="7" t="s">
        <v>214</v>
      </c>
      <c r="C97" s="7" t="s">
        <v>311</v>
      </c>
      <c r="D97" s="7" t="s">
        <v>357</v>
      </c>
      <c r="E97" s="22" t="n">
        <v>0</v>
      </c>
      <c r="F97" s="7" t="s">
        <v>312</v>
      </c>
      <c r="G97" s="7"/>
      <c r="H97" s="7" t="s">
        <v>358</v>
      </c>
      <c r="I97" s="10"/>
      <c r="J97" s="10"/>
      <c r="K97" s="10"/>
    </row>
    <row r="98" customFormat="false" ht="23.85" hidden="false" customHeight="false" outlineLevel="0" collapsed="false">
      <c r="A98" s="7" t="s">
        <v>359</v>
      </c>
      <c r="B98" s="7" t="s">
        <v>214</v>
      </c>
      <c r="C98" s="7" t="s">
        <v>336</v>
      </c>
      <c r="D98" s="7" t="s">
        <v>357</v>
      </c>
      <c r="E98" s="22" t="n">
        <v>0</v>
      </c>
      <c r="F98" s="7" t="s">
        <v>312</v>
      </c>
      <c r="G98" s="7"/>
      <c r="H98" s="7" t="s">
        <v>358</v>
      </c>
      <c r="I98" s="10"/>
      <c r="J98" s="10"/>
      <c r="K98" s="10"/>
    </row>
    <row r="99" customFormat="false" ht="23.85" hidden="false" customHeight="false" outlineLevel="0" collapsed="false">
      <c r="A99" s="7" t="s">
        <v>360</v>
      </c>
      <c r="B99" s="7" t="s">
        <v>214</v>
      </c>
      <c r="C99" s="7" t="s">
        <v>253</v>
      </c>
      <c r="D99" s="7" t="s">
        <v>361</v>
      </c>
      <c r="E99" s="22" t="n">
        <v>0</v>
      </c>
      <c r="F99" s="7" t="s">
        <v>312</v>
      </c>
      <c r="G99" s="7"/>
      <c r="H99" s="7" t="s">
        <v>362</v>
      </c>
      <c r="I99" s="10"/>
      <c r="J99" s="10"/>
      <c r="K99" s="10"/>
    </row>
    <row r="100" customFormat="false" ht="23.85" hidden="false" customHeight="false" outlineLevel="0" collapsed="false">
      <c r="A100" s="7" t="s">
        <v>363</v>
      </c>
      <c r="B100" s="7" t="s">
        <v>156</v>
      </c>
      <c r="C100" s="7" t="s">
        <v>157</v>
      </c>
      <c r="D100" s="7" t="s">
        <v>364</v>
      </c>
      <c r="E100" s="22" t="n">
        <v>0</v>
      </c>
      <c r="F100" s="7" t="s">
        <v>312</v>
      </c>
      <c r="G100" s="7"/>
      <c r="H100" s="7" t="s">
        <v>365</v>
      </c>
      <c r="I100" s="10"/>
      <c r="J100" s="10"/>
      <c r="K100" s="10"/>
    </row>
    <row r="101" customFormat="false" ht="35.05" hidden="false" customHeight="false" outlineLevel="0" collapsed="false">
      <c r="A101" s="7" t="s">
        <v>366</v>
      </c>
      <c r="B101" s="7" t="s">
        <v>214</v>
      </c>
      <c r="C101" s="7" t="s">
        <v>229</v>
      </c>
      <c r="D101" s="7" t="s">
        <v>230</v>
      </c>
      <c r="E101" s="22" t="n">
        <v>0</v>
      </c>
      <c r="F101" s="7" t="s">
        <v>312</v>
      </c>
      <c r="G101" s="7"/>
      <c r="H101" s="7" t="s">
        <v>367</v>
      </c>
      <c r="I101" s="10"/>
      <c r="J101" s="10"/>
      <c r="K101" s="10"/>
    </row>
    <row r="102" customFormat="false" ht="46.25" hidden="false" customHeight="false" outlineLevel="0" collapsed="false">
      <c r="A102" s="7" t="s">
        <v>368</v>
      </c>
      <c r="B102" s="7" t="s">
        <v>220</v>
      </c>
      <c r="C102" s="7" t="s">
        <v>369</v>
      </c>
      <c r="D102" s="7" t="s">
        <v>246</v>
      </c>
      <c r="E102" s="22" t="n">
        <v>0</v>
      </c>
      <c r="F102" s="7" t="s">
        <v>312</v>
      </c>
      <c r="G102" s="7"/>
      <c r="H102" s="7" t="s">
        <v>370</v>
      </c>
      <c r="I102" s="10"/>
      <c r="J102" s="10"/>
      <c r="K102" s="10"/>
    </row>
    <row r="103" customFormat="false" ht="35.05" hidden="false" customHeight="false" outlineLevel="0" collapsed="false">
      <c r="A103" s="7" t="s">
        <v>371</v>
      </c>
      <c r="B103" s="7" t="s">
        <v>214</v>
      </c>
      <c r="C103" s="7" t="s">
        <v>353</v>
      </c>
      <c r="D103" s="7" t="s">
        <v>246</v>
      </c>
      <c r="E103" s="22" t="n">
        <v>0</v>
      </c>
      <c r="F103" s="7" t="s">
        <v>312</v>
      </c>
      <c r="G103" s="7"/>
      <c r="H103" s="7" t="s">
        <v>372</v>
      </c>
      <c r="I103" s="10"/>
      <c r="J103" s="10"/>
      <c r="K103" s="10"/>
    </row>
    <row r="104" customFormat="false" ht="35.05" hidden="false" customHeight="false" outlineLevel="0" collapsed="false">
      <c r="A104" s="7" t="s">
        <v>373</v>
      </c>
      <c r="B104" s="7" t="s">
        <v>214</v>
      </c>
      <c r="C104" s="7" t="s">
        <v>353</v>
      </c>
      <c r="D104" s="7" t="s">
        <v>246</v>
      </c>
      <c r="E104" s="22" t="n">
        <v>0</v>
      </c>
      <c r="F104" s="7" t="s">
        <v>312</v>
      </c>
      <c r="G104" s="7"/>
      <c r="H104" s="7" t="s">
        <v>374</v>
      </c>
      <c r="I104" s="10"/>
      <c r="J104" s="10"/>
      <c r="K104" s="10"/>
    </row>
    <row r="105" customFormat="false" ht="35.05" hidden="false" customHeight="false" outlineLevel="0" collapsed="false">
      <c r="A105" s="7" t="s">
        <v>375</v>
      </c>
      <c r="B105" s="7" t="s">
        <v>214</v>
      </c>
      <c r="C105" s="7" t="s">
        <v>353</v>
      </c>
      <c r="D105" s="7" t="s">
        <v>246</v>
      </c>
      <c r="E105" s="22" t="n">
        <v>0</v>
      </c>
      <c r="F105" s="7" t="s">
        <v>312</v>
      </c>
      <c r="G105" s="7"/>
      <c r="H105" s="7" t="s">
        <v>376</v>
      </c>
      <c r="I105" s="10"/>
      <c r="J105" s="10"/>
      <c r="K105" s="10"/>
    </row>
    <row r="106" customFormat="false" ht="46.25" hidden="false" customHeight="false" outlineLevel="0" collapsed="false">
      <c r="A106" s="7" t="s">
        <v>377</v>
      </c>
      <c r="B106" s="7" t="s">
        <v>220</v>
      </c>
      <c r="C106" s="7" t="s">
        <v>245</v>
      </c>
      <c r="D106" s="7" t="s">
        <v>354</v>
      </c>
      <c r="E106" s="22" t="n">
        <v>0</v>
      </c>
      <c r="F106" s="7" t="s">
        <v>312</v>
      </c>
      <c r="G106" s="7"/>
      <c r="H106" s="7" t="s">
        <v>378</v>
      </c>
      <c r="I106" s="10"/>
      <c r="J106" s="10"/>
      <c r="K106" s="10"/>
    </row>
    <row r="107" customFormat="false" ht="35.05" hidden="false" customHeight="false" outlineLevel="0" collapsed="false">
      <c r="A107" s="7" t="s">
        <v>379</v>
      </c>
      <c r="B107" s="7" t="s">
        <v>220</v>
      </c>
      <c r="C107" s="7" t="s">
        <v>245</v>
      </c>
      <c r="D107" s="7" t="s">
        <v>354</v>
      </c>
      <c r="E107" s="22" t="n">
        <v>0</v>
      </c>
      <c r="F107" s="7" t="s">
        <v>312</v>
      </c>
      <c r="G107" s="7"/>
      <c r="H107" s="7" t="s">
        <v>380</v>
      </c>
      <c r="I107" s="10"/>
      <c r="J107" s="10"/>
      <c r="K107" s="10"/>
    </row>
    <row r="108" customFormat="false" ht="35.05" hidden="false" customHeight="false" outlineLevel="0" collapsed="false">
      <c r="A108" s="7" t="s">
        <v>381</v>
      </c>
      <c r="B108" s="7" t="s">
        <v>214</v>
      </c>
      <c r="C108" s="7" t="s">
        <v>229</v>
      </c>
      <c r="D108" s="7" t="s">
        <v>230</v>
      </c>
      <c r="E108" s="22" t="n">
        <v>0</v>
      </c>
      <c r="F108" s="7" t="s">
        <v>312</v>
      </c>
      <c r="G108" s="7"/>
      <c r="H108" s="7" t="s">
        <v>382</v>
      </c>
      <c r="I108" s="10"/>
      <c r="J108" s="10"/>
      <c r="K108" s="10"/>
    </row>
    <row r="109" customFormat="false" ht="46.25" hidden="false" customHeight="false" outlineLevel="0" collapsed="false">
      <c r="A109" s="7" t="s">
        <v>383</v>
      </c>
      <c r="B109" s="7" t="s">
        <v>214</v>
      </c>
      <c r="C109" s="7" t="s">
        <v>253</v>
      </c>
      <c r="D109" s="7" t="s">
        <v>226</v>
      </c>
      <c r="E109" s="22" t="n">
        <v>0</v>
      </c>
      <c r="F109" s="7" t="s">
        <v>312</v>
      </c>
      <c r="G109" s="7"/>
      <c r="H109" s="7" t="s">
        <v>384</v>
      </c>
      <c r="I109" s="10"/>
      <c r="J109" s="10"/>
      <c r="K109" s="10"/>
    </row>
    <row r="110" customFormat="false" ht="46.25" hidden="false" customHeight="false" outlineLevel="0" collapsed="false">
      <c r="A110" s="7" t="s">
        <v>385</v>
      </c>
      <c r="B110" s="7" t="s">
        <v>220</v>
      </c>
      <c r="C110" s="7" t="s">
        <v>245</v>
      </c>
      <c r="D110" s="7" t="s">
        <v>246</v>
      </c>
      <c r="E110" s="22" t="n">
        <v>0</v>
      </c>
      <c r="F110" s="7" t="s">
        <v>312</v>
      </c>
      <c r="G110" s="7"/>
      <c r="H110" s="7" t="s">
        <v>386</v>
      </c>
      <c r="I110" s="10"/>
      <c r="J110" s="10"/>
      <c r="K110" s="10"/>
    </row>
    <row r="111" customFormat="false" ht="46.25" hidden="false" customHeight="false" outlineLevel="0" collapsed="false">
      <c r="A111" s="7" t="s">
        <v>387</v>
      </c>
      <c r="B111" s="7" t="s">
        <v>220</v>
      </c>
      <c r="C111" s="7" t="s">
        <v>245</v>
      </c>
      <c r="D111" s="7" t="s">
        <v>246</v>
      </c>
      <c r="E111" s="22" t="n">
        <v>0</v>
      </c>
      <c r="F111" s="7" t="s">
        <v>312</v>
      </c>
      <c r="G111" s="7"/>
      <c r="H111" s="7" t="s">
        <v>388</v>
      </c>
      <c r="I111" s="10"/>
      <c r="J111" s="10"/>
      <c r="K111" s="10"/>
    </row>
    <row r="112" customFormat="false" ht="15" hidden="false" customHeight="false" outlineLevel="0" collapsed="false">
      <c r="A112" s="13" t="s">
        <v>389</v>
      </c>
      <c r="B112" s="14"/>
      <c r="C112" s="14"/>
      <c r="D112" s="14"/>
      <c r="E112" s="23" t="n">
        <f aca="false">SUM(E7:E111)</f>
        <v>180.76</v>
      </c>
      <c r="F112" s="13" t="str">
        <f aca="false">"Marked non-quality: "&amp;TEXT(SUMIFS(E7:E111,I7:I111,"Y"),"0.0")&amp;" h"</f>
        <v>Marked non-quality: 0.0 h</v>
      </c>
      <c r="G112" s="14"/>
      <c r="H112" s="14"/>
      <c r="I112" s="14"/>
      <c r="J112" s="14"/>
      <c r="K112" s="14"/>
    </row>
  </sheetData>
  <autoFilter ref="A6:K111"/>
  <mergeCells count="1">
    <mergeCell ref="A4:K4"/>
  </mergeCells>
  <dataValidations count="2">
    <dataValidation allowBlank="true" errorStyle="stop" operator="between" showDropDown="false" showErrorMessage="false" showInputMessage="false" sqref="I7:I111" type="list">
      <formula1>"Y,N,?"</formula1>
      <formula2>0</formula2>
    </dataValidation>
    <dataValidation allowBlank="true" errorStyle="stop" operator="between" showDropDown="false" showErrorMessage="false" showInputMessage="false" sqref="J7:J1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1"/>
    <col collapsed="false" customWidth="true" hidden="false" outlineLevel="0" max="4" min="4" style="0" width="6"/>
    <col collapsed="false" customWidth="true" hidden="false" outlineLevel="0" max="6" min="5" style="0" width="40"/>
    <col collapsed="false" customWidth="true" hidden="false" outlineLevel="0" max="7" min="7" style="0" width="9"/>
    <col collapsed="false" customWidth="true" hidden="false" outlineLevel="0" max="8" min="8" style="0" width="11"/>
    <col collapsed="false" customWidth="true" hidden="false" outlineLevel="0" max="9" min="9" style="0" width="22"/>
    <col collapsed="false" customWidth="true" hidden="false" outlineLevel="0" max="10" min="10" style="0" width="25"/>
  </cols>
  <sheetData>
    <row r="1" customFormat="false" ht="17.35" hidden="false" customHeight="false" outlineLevel="0" collapsed="false">
      <c r="A1" s="1" t="s">
        <v>390</v>
      </c>
    </row>
    <row r="2" customFormat="false" ht="15" hidden="false" customHeight="false" outlineLevel="0" collapsed="false">
      <c r="A2" s="2" t="s">
        <v>391</v>
      </c>
    </row>
    <row r="4" customFormat="false" ht="30" hidden="false" customHeight="true" outlineLevel="0" collapsed="false">
      <c r="A4" s="5" t="s">
        <v>392</v>
      </c>
      <c r="B4" s="5"/>
      <c r="C4" s="5"/>
      <c r="D4" s="5"/>
      <c r="E4" s="5"/>
      <c r="F4" s="5"/>
      <c r="G4" s="5"/>
      <c r="H4" s="5"/>
      <c r="I4" s="5"/>
      <c r="J4" s="5"/>
    </row>
    <row r="6" customFormat="false" ht="30" hidden="false" customHeight="true" outlineLevel="0" collapsed="false">
      <c r="A6" s="6" t="s">
        <v>393</v>
      </c>
      <c r="B6" s="6" t="s">
        <v>394</v>
      </c>
      <c r="C6" s="6" t="s">
        <v>395</v>
      </c>
      <c r="D6" s="6" t="s">
        <v>396</v>
      </c>
      <c r="E6" s="6" t="s">
        <v>397</v>
      </c>
      <c r="F6" s="6" t="s">
        <v>398</v>
      </c>
      <c r="G6" s="6" t="s">
        <v>148</v>
      </c>
      <c r="H6" s="6" t="s">
        <v>399</v>
      </c>
      <c r="I6" s="6" t="s">
        <v>400</v>
      </c>
      <c r="J6" s="6" t="s">
        <v>154</v>
      </c>
    </row>
    <row r="7" customFormat="false" ht="15" hidden="false" customHeight="false" outlineLevel="0" collapsed="false">
      <c r="A7" s="7" t="s">
        <v>306</v>
      </c>
      <c r="B7" s="7" t="s">
        <v>401</v>
      </c>
      <c r="C7" s="7" t="s">
        <v>402</v>
      </c>
      <c r="D7" s="7" t="s">
        <v>403</v>
      </c>
      <c r="E7" s="7" t="s">
        <v>404</v>
      </c>
      <c r="F7" s="7"/>
      <c r="G7" s="22" t="n">
        <v>4</v>
      </c>
      <c r="H7" s="10"/>
      <c r="I7" s="10"/>
      <c r="J7" s="10"/>
    </row>
    <row r="8" customFormat="false" ht="23.85" hidden="false" customHeight="false" outlineLevel="0" collapsed="false">
      <c r="A8" s="7" t="s">
        <v>306</v>
      </c>
      <c r="B8" s="7" t="s">
        <v>401</v>
      </c>
      <c r="C8" s="7" t="s">
        <v>402</v>
      </c>
      <c r="D8" s="7" t="s">
        <v>405</v>
      </c>
      <c r="E8" s="7" t="s">
        <v>406</v>
      </c>
      <c r="F8" s="7" t="s">
        <v>407</v>
      </c>
      <c r="G8" s="22" t="n">
        <v>5</v>
      </c>
      <c r="H8" s="10"/>
      <c r="I8" s="10"/>
      <c r="J8" s="10"/>
    </row>
    <row r="9" customFormat="false" ht="15" hidden="false" customHeight="false" outlineLevel="0" collapsed="false">
      <c r="A9" s="7" t="s">
        <v>306</v>
      </c>
      <c r="B9" s="7" t="s">
        <v>401</v>
      </c>
      <c r="C9" s="7" t="s">
        <v>402</v>
      </c>
      <c r="D9" s="7" t="s">
        <v>408</v>
      </c>
      <c r="E9" s="7" t="s">
        <v>409</v>
      </c>
      <c r="F9" s="7"/>
      <c r="G9" s="22" t="n">
        <v>1</v>
      </c>
      <c r="H9" s="10"/>
      <c r="I9" s="10"/>
      <c r="J9" s="10"/>
    </row>
    <row r="10" customFormat="false" ht="23.85" hidden="false" customHeight="false" outlineLevel="0" collapsed="false">
      <c r="A10" s="7" t="s">
        <v>306</v>
      </c>
      <c r="B10" s="7" t="s">
        <v>401</v>
      </c>
      <c r="C10" s="7" t="s">
        <v>402</v>
      </c>
      <c r="D10" s="7" t="s">
        <v>410</v>
      </c>
      <c r="E10" s="7" t="s">
        <v>411</v>
      </c>
      <c r="F10" s="7" t="s">
        <v>412</v>
      </c>
      <c r="G10" s="22" t="n">
        <v>1</v>
      </c>
      <c r="H10" s="10"/>
      <c r="I10" s="10"/>
      <c r="J10" s="10"/>
    </row>
    <row r="11" customFormat="false" ht="15" hidden="false" customHeight="false" outlineLevel="0" collapsed="false">
      <c r="A11" s="7" t="s">
        <v>306</v>
      </c>
      <c r="B11" s="7" t="s">
        <v>401</v>
      </c>
      <c r="C11" s="7" t="s">
        <v>402</v>
      </c>
      <c r="D11" s="7" t="s">
        <v>413</v>
      </c>
      <c r="E11" s="7" t="s">
        <v>414</v>
      </c>
      <c r="F11" s="7"/>
      <c r="G11" s="22" t="n">
        <v>1.5</v>
      </c>
      <c r="H11" s="10"/>
      <c r="I11" s="10"/>
      <c r="J11" s="10"/>
    </row>
    <row r="12" customFormat="false" ht="15" hidden="false" customHeight="false" outlineLevel="0" collapsed="false">
      <c r="A12" s="7" t="s">
        <v>306</v>
      </c>
      <c r="B12" s="7" t="s">
        <v>401</v>
      </c>
      <c r="C12" s="7" t="s">
        <v>402</v>
      </c>
      <c r="D12" s="7" t="s">
        <v>415</v>
      </c>
      <c r="E12" s="7" t="s">
        <v>416</v>
      </c>
      <c r="F12" s="7"/>
      <c r="G12" s="22" t="n">
        <v>2</v>
      </c>
      <c r="H12" s="10"/>
      <c r="I12" s="10"/>
      <c r="J12" s="10"/>
    </row>
    <row r="13" customFormat="false" ht="15" hidden="false" customHeight="false" outlineLevel="0" collapsed="false">
      <c r="A13" s="7" t="s">
        <v>306</v>
      </c>
      <c r="B13" s="7" t="s">
        <v>401</v>
      </c>
      <c r="C13" s="7" t="s">
        <v>402</v>
      </c>
      <c r="D13" s="7" t="s">
        <v>417</v>
      </c>
      <c r="E13" s="7" t="s">
        <v>418</v>
      </c>
      <c r="F13" s="7"/>
      <c r="G13" s="22" t="n">
        <v>5</v>
      </c>
      <c r="H13" s="10"/>
      <c r="I13" s="10"/>
      <c r="J13" s="10"/>
    </row>
    <row r="14" customFormat="false" ht="15" hidden="false" customHeight="false" outlineLevel="0" collapsed="false">
      <c r="A14" s="7" t="s">
        <v>306</v>
      </c>
      <c r="B14" s="7" t="s">
        <v>401</v>
      </c>
      <c r="C14" s="7" t="s">
        <v>419</v>
      </c>
      <c r="D14" s="7" t="s">
        <v>420</v>
      </c>
      <c r="E14" s="7" t="s">
        <v>358</v>
      </c>
      <c r="F14" s="7"/>
      <c r="G14" s="22" t="n">
        <v>0</v>
      </c>
      <c r="H14" s="10"/>
      <c r="I14" s="10"/>
      <c r="J14" s="10"/>
    </row>
    <row r="15" customFormat="false" ht="15" hidden="false" customHeight="false" outlineLevel="0" collapsed="false">
      <c r="A15" s="7" t="s">
        <v>303</v>
      </c>
      <c r="B15" s="7" t="s">
        <v>421</v>
      </c>
      <c r="C15" s="7" t="s">
        <v>422</v>
      </c>
      <c r="D15" s="7" t="s">
        <v>403</v>
      </c>
      <c r="E15" s="7" t="s">
        <v>423</v>
      </c>
      <c r="F15" s="7"/>
      <c r="G15" s="22" t="n">
        <v>3</v>
      </c>
      <c r="H15" s="10"/>
      <c r="I15" s="10"/>
      <c r="J15" s="10"/>
    </row>
    <row r="16" customFormat="false" ht="15" hidden="false" customHeight="false" outlineLevel="0" collapsed="false">
      <c r="A16" s="7" t="s">
        <v>303</v>
      </c>
      <c r="B16" s="7" t="s">
        <v>421</v>
      </c>
      <c r="C16" s="7" t="s">
        <v>422</v>
      </c>
      <c r="D16" s="7" t="s">
        <v>405</v>
      </c>
      <c r="E16" s="7" t="s">
        <v>424</v>
      </c>
      <c r="F16" s="7"/>
      <c r="G16" s="22" t="n">
        <v>20</v>
      </c>
      <c r="H16" s="10"/>
      <c r="I16" s="10"/>
      <c r="J16" s="10"/>
    </row>
    <row r="17" customFormat="false" ht="15" hidden="false" customHeight="false" outlineLevel="0" collapsed="false">
      <c r="A17" s="7" t="s">
        <v>303</v>
      </c>
      <c r="B17" s="7" t="s">
        <v>421</v>
      </c>
      <c r="C17" s="7" t="s">
        <v>422</v>
      </c>
      <c r="D17" s="7" t="s">
        <v>408</v>
      </c>
      <c r="E17" s="7" t="s">
        <v>425</v>
      </c>
      <c r="F17" s="7"/>
      <c r="G17" s="22" t="n">
        <v>1</v>
      </c>
      <c r="H17" s="10"/>
      <c r="I17" s="10"/>
      <c r="J17" s="10"/>
    </row>
    <row r="18" customFormat="false" ht="15" hidden="false" customHeight="false" outlineLevel="0" collapsed="false">
      <c r="A18" s="7" t="s">
        <v>303</v>
      </c>
      <c r="B18" s="7" t="s">
        <v>421</v>
      </c>
      <c r="C18" s="7" t="s">
        <v>422</v>
      </c>
      <c r="D18" s="7" t="s">
        <v>410</v>
      </c>
      <c r="E18" s="7" t="s">
        <v>426</v>
      </c>
      <c r="F18" s="7"/>
      <c r="G18" s="22" t="n">
        <v>2</v>
      </c>
      <c r="H18" s="10"/>
      <c r="I18" s="10"/>
      <c r="J18" s="10"/>
    </row>
    <row r="19" customFormat="false" ht="15" hidden="false" customHeight="false" outlineLevel="0" collapsed="false">
      <c r="A19" s="7" t="s">
        <v>303</v>
      </c>
      <c r="B19" s="7" t="s">
        <v>421</v>
      </c>
      <c r="C19" s="7" t="s">
        <v>422</v>
      </c>
      <c r="D19" s="7" t="s">
        <v>413</v>
      </c>
      <c r="E19" s="7" t="s">
        <v>427</v>
      </c>
      <c r="F19" s="7"/>
      <c r="G19" s="22" t="n">
        <v>3</v>
      </c>
      <c r="H19" s="10"/>
      <c r="I19" s="10"/>
      <c r="J19" s="10"/>
    </row>
    <row r="20" customFormat="false" ht="15" hidden="false" customHeight="false" outlineLevel="0" collapsed="false">
      <c r="A20" s="7" t="s">
        <v>303</v>
      </c>
      <c r="B20" s="7" t="s">
        <v>421</v>
      </c>
      <c r="C20" s="7" t="s">
        <v>422</v>
      </c>
      <c r="D20" s="7" t="s">
        <v>415</v>
      </c>
      <c r="E20" s="7" t="s">
        <v>428</v>
      </c>
      <c r="F20" s="7"/>
      <c r="G20" s="22" t="n">
        <v>2</v>
      </c>
      <c r="H20" s="10"/>
      <c r="I20" s="10"/>
      <c r="J20" s="10"/>
    </row>
    <row r="21" customFormat="false" ht="15" hidden="false" customHeight="false" outlineLevel="0" collapsed="false">
      <c r="A21" s="7" t="s">
        <v>303</v>
      </c>
      <c r="B21" s="7" t="s">
        <v>421</v>
      </c>
      <c r="C21" s="7" t="s">
        <v>422</v>
      </c>
      <c r="D21" s="7" t="s">
        <v>417</v>
      </c>
      <c r="E21" s="7" t="s">
        <v>429</v>
      </c>
      <c r="F21" s="7" t="s">
        <v>430</v>
      </c>
      <c r="G21" s="22" t="n">
        <v>15</v>
      </c>
      <c r="H21" s="10"/>
      <c r="I21" s="10"/>
      <c r="J21" s="10"/>
    </row>
    <row r="22" customFormat="false" ht="15" hidden="false" customHeight="false" outlineLevel="0" collapsed="false">
      <c r="A22" s="7" t="s">
        <v>303</v>
      </c>
      <c r="B22" s="7" t="s">
        <v>421</v>
      </c>
      <c r="C22" s="7" t="s">
        <v>422</v>
      </c>
      <c r="D22" s="7" t="s">
        <v>431</v>
      </c>
      <c r="E22" s="7" t="s">
        <v>432</v>
      </c>
      <c r="F22" s="7"/>
      <c r="G22" s="22" t="n">
        <v>1</v>
      </c>
      <c r="H22" s="10"/>
      <c r="I22" s="10"/>
      <c r="J22" s="10"/>
    </row>
    <row r="23" customFormat="false" ht="15" hidden="false" customHeight="false" outlineLevel="0" collapsed="false">
      <c r="A23" s="7" t="s">
        <v>303</v>
      </c>
      <c r="B23" s="7" t="s">
        <v>421</v>
      </c>
      <c r="C23" s="7" t="s">
        <v>422</v>
      </c>
      <c r="D23" s="7" t="s">
        <v>433</v>
      </c>
      <c r="E23" s="7" t="s">
        <v>434</v>
      </c>
      <c r="F23" s="7"/>
      <c r="G23" s="22" t="n">
        <v>4</v>
      </c>
      <c r="H23" s="10"/>
      <c r="I23" s="10"/>
      <c r="J23" s="10"/>
    </row>
    <row r="24" customFormat="false" ht="15" hidden="false" customHeight="false" outlineLevel="0" collapsed="false">
      <c r="A24" s="7" t="s">
        <v>303</v>
      </c>
      <c r="B24" s="7" t="s">
        <v>421</v>
      </c>
      <c r="C24" s="7" t="s">
        <v>435</v>
      </c>
      <c r="D24" s="7" t="s">
        <v>420</v>
      </c>
      <c r="E24" s="7" t="s">
        <v>358</v>
      </c>
      <c r="F24" s="7"/>
      <c r="G24" s="22" t="n">
        <v>0</v>
      </c>
      <c r="H24" s="10"/>
      <c r="I24" s="10"/>
      <c r="J24" s="10"/>
    </row>
    <row r="25" customFormat="false" ht="15" hidden="false" customHeight="false" outlineLevel="0" collapsed="false">
      <c r="A25" s="13" t="s">
        <v>389</v>
      </c>
      <c r="B25" s="14"/>
      <c r="C25" s="14"/>
      <c r="D25" s="14"/>
      <c r="E25" s="14"/>
      <c r="F25" s="14"/>
      <c r="G25" s="23" t="n">
        <f aca="false">SUM(G7:G24)</f>
        <v>70.5</v>
      </c>
      <c r="H25" s="23" t="n">
        <f aca="false">SUMIFS(G7:G24,H7:H24,"Y")</f>
        <v>0</v>
      </c>
      <c r="I25" s="14"/>
      <c r="J25" s="14"/>
    </row>
    <row r="26" customFormat="false" ht="15" hidden="false" customHeight="false" outlineLevel="0" collapsed="false">
      <c r="H26" s="2" t="s">
        <v>436</v>
      </c>
    </row>
  </sheetData>
  <autoFilter ref="A6:J24"/>
  <mergeCells count="1">
    <mergeCell ref="A4:J4"/>
  </mergeCells>
  <dataValidations count="1">
    <dataValidation allowBlank="true" errorStyle="stop" operator="between" showDropDown="false" showErrorMessage="false" showInputMessage="false" sqref="H7:H2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R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4" min="3" style="0" width="8"/>
    <col collapsed="false" customWidth="true" hidden="false" outlineLevel="0" max="5" min="5" style="0" width="7"/>
    <col collapsed="false" customWidth="true" hidden="false" outlineLevel="0" max="6" min="6" style="0" width="40"/>
    <col collapsed="false" customWidth="true" hidden="false" outlineLevel="0" max="7" min="7" style="0" width="8"/>
    <col collapsed="false" customWidth="true" hidden="false" outlineLevel="0" max="8" min="8" style="0" width="7"/>
    <col collapsed="false" customWidth="true" hidden="false" outlineLevel="0" max="10" min="9" style="0" width="11"/>
    <col collapsed="false" customWidth="true" hidden="false" outlineLevel="0" max="11" min="11" style="0" width="22"/>
    <col collapsed="false" customWidth="true" hidden="false" outlineLevel="0" max="12" min="12" style="0" width="10"/>
    <col collapsed="false" customWidth="true" hidden="false" outlineLevel="0" max="13" min="13" style="0" width="11"/>
    <col collapsed="false" customWidth="true" hidden="false" outlineLevel="0" max="14" min="14" style="0" width="10"/>
    <col collapsed="false" customWidth="true" hidden="false" outlineLevel="0" max="16" min="15" style="0" width="11"/>
    <col collapsed="false" customWidth="true" hidden="false" outlineLevel="0" max="17" min="17" style="0" width="25"/>
    <col collapsed="false" customWidth="true" hidden="false" outlineLevel="0" max="18" min="18" style="0" width="12"/>
  </cols>
  <sheetData>
    <row r="1" customFormat="false" ht="17.35" hidden="false" customHeight="false" outlineLevel="0" collapsed="false">
      <c r="A1" s="1" t="s">
        <v>437</v>
      </c>
    </row>
    <row r="2" customFormat="false" ht="15" hidden="false" customHeight="false" outlineLevel="0" collapsed="false">
      <c r="A2" s="2" t="s">
        <v>438</v>
      </c>
    </row>
    <row r="4" customFormat="false" ht="45" hidden="false" customHeight="true" outlineLevel="0" collapsed="false">
      <c r="A4" s="5" t="s">
        <v>439</v>
      </c>
      <c r="B4" s="5"/>
      <c r="C4" s="5"/>
      <c r="D4" s="5"/>
      <c r="E4" s="5"/>
      <c r="F4" s="5"/>
      <c r="G4" s="5"/>
      <c r="H4" s="5"/>
      <c r="I4" s="5"/>
      <c r="J4" s="5"/>
      <c r="K4" s="5"/>
      <c r="L4" s="5"/>
    </row>
    <row r="5" customFormat="false" ht="45" hidden="false" customHeight="true" outlineLevel="0" collapsed="false">
      <c r="A5" s="5" t="s">
        <v>440</v>
      </c>
      <c r="B5" s="5"/>
      <c r="C5" s="5"/>
      <c r="D5" s="5"/>
      <c r="E5" s="5"/>
      <c r="F5" s="5"/>
      <c r="G5" s="5"/>
      <c r="H5" s="5"/>
      <c r="I5" s="5"/>
      <c r="J5" s="5"/>
      <c r="K5" s="5"/>
      <c r="L5" s="5"/>
    </row>
    <row r="7" customFormat="false" ht="30" hidden="false" customHeight="true" outlineLevel="0" collapsed="false">
      <c r="A7" s="6" t="s">
        <v>441</v>
      </c>
      <c r="B7" s="6" t="s">
        <v>442</v>
      </c>
      <c r="C7" s="6" t="s">
        <v>443</v>
      </c>
      <c r="D7" s="6" t="s">
        <v>145</v>
      </c>
      <c r="E7" s="6" t="s">
        <v>146</v>
      </c>
      <c r="F7" s="6" t="s">
        <v>444</v>
      </c>
      <c r="G7" s="6" t="s">
        <v>27</v>
      </c>
      <c r="H7" s="6" t="s">
        <v>445</v>
      </c>
      <c r="I7" s="6" t="s">
        <v>446</v>
      </c>
      <c r="J7" s="6" t="s">
        <v>447</v>
      </c>
      <c r="K7" s="6" t="s">
        <v>448</v>
      </c>
      <c r="L7" s="6" t="s">
        <v>449</v>
      </c>
      <c r="M7" s="6" t="s">
        <v>450</v>
      </c>
      <c r="N7" s="6" t="s">
        <v>451</v>
      </c>
      <c r="O7" s="6" t="s">
        <v>452</v>
      </c>
      <c r="P7" s="6" t="s">
        <v>453</v>
      </c>
      <c r="Q7" s="6" t="s">
        <v>454</v>
      </c>
      <c r="R7" s="6" t="s">
        <v>455</v>
      </c>
    </row>
    <row r="8" customFormat="false" ht="15" hidden="false" customHeight="false" outlineLevel="0" collapsed="false">
      <c r="A8" s="7" t="s">
        <v>456</v>
      </c>
      <c r="B8" s="7" t="s">
        <v>457</v>
      </c>
      <c r="C8" s="7" t="s">
        <v>458</v>
      </c>
      <c r="D8" s="7" t="s">
        <v>459</v>
      </c>
      <c r="E8" s="7" t="s">
        <v>460</v>
      </c>
      <c r="F8" s="7" t="s">
        <v>461</v>
      </c>
      <c r="G8" s="7" t="s">
        <v>462</v>
      </c>
      <c r="H8" s="7" t="n">
        <v>0</v>
      </c>
      <c r="I8" s="24" t="n">
        <v>150</v>
      </c>
      <c r="J8" s="24" t="n">
        <v>50</v>
      </c>
      <c r="K8" s="7" t="s">
        <v>463</v>
      </c>
      <c r="L8" s="22"/>
      <c r="M8" s="10"/>
      <c r="N8" s="10"/>
      <c r="O8" s="10"/>
      <c r="P8" s="10"/>
      <c r="Q8" s="10"/>
      <c r="R8" s="24" t="n">
        <f aca="false">I8-IF(ISNUMBER(M8),J8-M8*Figures!$C$4,0)+N(N8)*Figures!$C$4+N(O8)+N(P8)</f>
        <v>150</v>
      </c>
    </row>
    <row r="9" customFormat="false" ht="15" hidden="false" customHeight="false" outlineLevel="0" collapsed="false">
      <c r="A9" s="7" t="s">
        <v>464</v>
      </c>
      <c r="B9" s="7" t="s">
        <v>465</v>
      </c>
      <c r="C9" s="7" t="s">
        <v>458</v>
      </c>
      <c r="D9" s="7" t="s">
        <v>459</v>
      </c>
      <c r="E9" s="7" t="s">
        <v>466</v>
      </c>
      <c r="F9" s="7" t="s">
        <v>467</v>
      </c>
      <c r="G9" s="7" t="s">
        <v>462</v>
      </c>
      <c r="H9" s="7" t="n">
        <v>0</v>
      </c>
      <c r="I9" s="24" t="n">
        <v>150</v>
      </c>
      <c r="J9" s="24" t="n">
        <v>50</v>
      </c>
      <c r="K9" s="7" t="s">
        <v>468</v>
      </c>
      <c r="L9" s="22"/>
      <c r="M9" s="10"/>
      <c r="N9" s="10"/>
      <c r="O9" s="10"/>
      <c r="P9" s="10"/>
      <c r="Q9" s="10"/>
      <c r="R9" s="24" t="n">
        <f aca="false">I9-IF(ISNUMBER(M9),J9-M9*Figures!$C$4,0)+N(N9)*Figures!$C$4+N(O9)+N(P9)</f>
        <v>150</v>
      </c>
    </row>
    <row r="10" customFormat="false" ht="15" hidden="false" customHeight="false" outlineLevel="0" collapsed="false">
      <c r="A10" s="7" t="s">
        <v>469</v>
      </c>
      <c r="B10" s="7" t="s">
        <v>470</v>
      </c>
      <c r="C10" s="7" t="s">
        <v>471</v>
      </c>
      <c r="D10" s="7" t="s">
        <v>156</v>
      </c>
      <c r="E10" s="7" t="s">
        <v>472</v>
      </c>
      <c r="F10" s="7" t="s">
        <v>473</v>
      </c>
      <c r="G10" s="7" t="s">
        <v>462</v>
      </c>
      <c r="H10" s="7" t="n">
        <v>1</v>
      </c>
      <c r="I10" s="24" t="n">
        <v>159.18</v>
      </c>
      <c r="J10" s="24" t="n">
        <v>58.33</v>
      </c>
      <c r="K10" s="7" t="s">
        <v>474</v>
      </c>
      <c r="L10" s="22"/>
      <c r="M10" s="10"/>
      <c r="N10" s="10"/>
      <c r="O10" s="10"/>
      <c r="P10" s="10"/>
      <c r="Q10" s="10"/>
      <c r="R10" s="24" t="n">
        <f aca="false">I10-IF(ISNUMBER(M10),J10-M10*Figures!$C$4,0)+N(N10)*Figures!$C$4+N(O10)+N(P10)</f>
        <v>159.18</v>
      </c>
    </row>
    <row r="11" customFormat="false" ht="15" hidden="false" customHeight="false" outlineLevel="0" collapsed="false">
      <c r="A11" s="7" t="s">
        <v>475</v>
      </c>
      <c r="B11" s="7" t="s">
        <v>476</v>
      </c>
      <c r="C11" s="7" t="s">
        <v>471</v>
      </c>
      <c r="D11" s="7" t="s">
        <v>156</v>
      </c>
      <c r="E11" s="7" t="s">
        <v>472</v>
      </c>
      <c r="F11" s="7" t="s">
        <v>477</v>
      </c>
      <c r="G11" s="7" t="s">
        <v>462</v>
      </c>
      <c r="H11" s="7" t="n">
        <v>1</v>
      </c>
      <c r="I11" s="24" t="n">
        <v>166.67</v>
      </c>
      <c r="J11" s="24" t="n">
        <v>66.67</v>
      </c>
      <c r="K11" s="7" t="s">
        <v>478</v>
      </c>
      <c r="L11" s="22"/>
      <c r="M11" s="10"/>
      <c r="N11" s="10"/>
      <c r="O11" s="10"/>
      <c r="P11" s="10"/>
      <c r="Q11" s="10"/>
      <c r="R11" s="24" t="n">
        <f aca="false">I11-IF(ISNUMBER(M11),J11-M11*Figures!$C$4,0)+N(N11)*Figures!$C$4+N(O11)+N(P11)</f>
        <v>166.67</v>
      </c>
    </row>
    <row r="12" customFormat="false" ht="15" hidden="false" customHeight="false" outlineLevel="0" collapsed="false">
      <c r="A12" s="7" t="s">
        <v>479</v>
      </c>
      <c r="B12" s="7" t="s">
        <v>480</v>
      </c>
      <c r="C12" s="7" t="s">
        <v>471</v>
      </c>
      <c r="D12" s="7" t="s">
        <v>156</v>
      </c>
      <c r="E12" s="7" t="s">
        <v>481</v>
      </c>
      <c r="F12" s="7" t="s">
        <v>482</v>
      </c>
      <c r="G12" s="7" t="s">
        <v>462</v>
      </c>
      <c r="H12" s="7" t="n">
        <v>1</v>
      </c>
      <c r="I12" s="24" t="n">
        <v>166.67</v>
      </c>
      <c r="J12" s="24" t="n">
        <v>66.67</v>
      </c>
      <c r="K12" s="7" t="s">
        <v>483</v>
      </c>
      <c r="L12" s="22"/>
      <c r="M12" s="10"/>
      <c r="N12" s="10"/>
      <c r="O12" s="10"/>
      <c r="P12" s="10"/>
      <c r="Q12" s="10"/>
      <c r="R12" s="24" t="n">
        <f aca="false">I12-IF(ISNUMBER(M12),J12-M12*Figures!$C$4,0)+N(N12)*Figures!$C$4+N(O12)+N(P12)</f>
        <v>166.67</v>
      </c>
    </row>
    <row r="13" customFormat="false" ht="15" hidden="false" customHeight="false" outlineLevel="0" collapsed="false">
      <c r="A13" s="7" t="s">
        <v>484</v>
      </c>
      <c r="B13" s="7" t="s">
        <v>480</v>
      </c>
      <c r="C13" s="7" t="s">
        <v>471</v>
      </c>
      <c r="D13" s="7" t="s">
        <v>220</v>
      </c>
      <c r="E13" s="7" t="s">
        <v>485</v>
      </c>
      <c r="F13" s="7" t="s">
        <v>486</v>
      </c>
      <c r="G13" s="7" t="s">
        <v>462</v>
      </c>
      <c r="H13" s="7" t="n">
        <v>1</v>
      </c>
      <c r="I13" s="24" t="n">
        <v>166.67</v>
      </c>
      <c r="J13" s="24" t="n">
        <v>66.67</v>
      </c>
      <c r="K13" s="7"/>
      <c r="L13" s="22"/>
      <c r="M13" s="10"/>
      <c r="N13" s="10"/>
      <c r="O13" s="10"/>
      <c r="P13" s="10"/>
      <c r="Q13" s="10"/>
      <c r="R13" s="24" t="n">
        <f aca="false">I13-IF(ISNUMBER(M13),J13-M13*Figures!$C$4,0)+N(N13)*Figures!$C$4+N(O13)+N(P13)</f>
        <v>166.67</v>
      </c>
    </row>
    <row r="14" customFormat="false" ht="15" hidden="false" customHeight="false" outlineLevel="0" collapsed="false">
      <c r="A14" s="7" t="s">
        <v>487</v>
      </c>
      <c r="B14" s="7" t="s">
        <v>488</v>
      </c>
      <c r="C14" s="7" t="s">
        <v>458</v>
      </c>
      <c r="D14" s="7" t="s">
        <v>214</v>
      </c>
      <c r="E14" s="7" t="s">
        <v>489</v>
      </c>
      <c r="F14" s="7" t="s">
        <v>490</v>
      </c>
      <c r="G14" s="7" t="s">
        <v>462</v>
      </c>
      <c r="H14" s="7" t="n">
        <v>1</v>
      </c>
      <c r="I14" s="24" t="n">
        <v>166.67</v>
      </c>
      <c r="J14" s="24" t="n">
        <v>66.67</v>
      </c>
      <c r="K14" s="7" t="s">
        <v>491</v>
      </c>
      <c r="L14" s="22"/>
      <c r="M14" s="10"/>
      <c r="N14" s="10"/>
      <c r="O14" s="10"/>
      <c r="P14" s="10"/>
      <c r="Q14" s="10"/>
      <c r="R14" s="24" t="n">
        <f aca="false">I14-IF(ISNUMBER(M14),J14-M14*Figures!$C$4,0)+N(N14)*Figures!$C$4+N(O14)+N(P14)</f>
        <v>166.67</v>
      </c>
    </row>
    <row r="15" customFormat="false" ht="15" hidden="false" customHeight="false" outlineLevel="0" collapsed="false">
      <c r="A15" s="7" t="s">
        <v>492</v>
      </c>
      <c r="B15" s="7" t="s">
        <v>493</v>
      </c>
      <c r="C15" s="7" t="s">
        <v>458</v>
      </c>
      <c r="D15" s="7" t="s">
        <v>214</v>
      </c>
      <c r="E15" s="7" t="s">
        <v>494</v>
      </c>
      <c r="F15" s="7" t="s">
        <v>495</v>
      </c>
      <c r="G15" s="7" t="s">
        <v>462</v>
      </c>
      <c r="H15" s="7" t="n">
        <v>1</v>
      </c>
      <c r="I15" s="24" t="n">
        <v>166.67</v>
      </c>
      <c r="J15" s="24" t="n">
        <v>66.67</v>
      </c>
      <c r="K15" s="7" t="s">
        <v>496</v>
      </c>
      <c r="L15" s="22"/>
      <c r="M15" s="10"/>
      <c r="N15" s="10"/>
      <c r="O15" s="10"/>
      <c r="P15" s="10"/>
      <c r="Q15" s="10"/>
      <c r="R15" s="24" t="n">
        <f aca="false">I15-IF(ISNUMBER(M15),J15-M15*Figures!$C$4,0)+N(N15)*Figures!$C$4+N(O15)+N(P15)</f>
        <v>166.67</v>
      </c>
    </row>
    <row r="16" customFormat="false" ht="15" hidden="false" customHeight="false" outlineLevel="0" collapsed="false">
      <c r="A16" s="7" t="s">
        <v>497</v>
      </c>
      <c r="B16" s="7" t="s">
        <v>498</v>
      </c>
      <c r="C16" s="7" t="s">
        <v>471</v>
      </c>
      <c r="D16" s="7" t="s">
        <v>156</v>
      </c>
      <c r="E16" s="7" t="s">
        <v>499</v>
      </c>
      <c r="F16" s="7" t="s">
        <v>500</v>
      </c>
      <c r="G16" s="7" t="s">
        <v>462</v>
      </c>
      <c r="H16" s="7" t="n">
        <v>1</v>
      </c>
      <c r="I16" s="24" t="n">
        <v>150</v>
      </c>
      <c r="J16" s="24" t="n">
        <v>50</v>
      </c>
      <c r="K16" s="7" t="s">
        <v>501</v>
      </c>
      <c r="L16" s="22"/>
      <c r="M16" s="10"/>
      <c r="N16" s="10"/>
      <c r="O16" s="10"/>
      <c r="P16" s="10"/>
      <c r="Q16" s="10"/>
      <c r="R16" s="24" t="n">
        <f aca="false">I16-IF(ISNUMBER(M16),J16-M16*Figures!$C$4,0)+N(N16)*Figures!$C$4+N(O16)+N(P16)</f>
        <v>150</v>
      </c>
    </row>
    <row r="17" customFormat="false" ht="15" hidden="false" customHeight="false" outlineLevel="0" collapsed="false">
      <c r="A17" s="7" t="s">
        <v>502</v>
      </c>
      <c r="B17" s="7" t="s">
        <v>503</v>
      </c>
      <c r="C17" s="7" t="s">
        <v>458</v>
      </c>
      <c r="D17" s="7" t="s">
        <v>214</v>
      </c>
      <c r="E17" s="7" t="s">
        <v>504</v>
      </c>
      <c r="F17" s="7" t="s">
        <v>505</v>
      </c>
      <c r="G17" s="7" t="s">
        <v>462</v>
      </c>
      <c r="H17" s="7" t="n">
        <v>1</v>
      </c>
      <c r="I17" s="24" t="n">
        <v>166.85</v>
      </c>
      <c r="J17" s="24" t="n">
        <v>66.67</v>
      </c>
      <c r="K17" s="7" t="s">
        <v>506</v>
      </c>
      <c r="L17" s="22"/>
      <c r="M17" s="10"/>
      <c r="N17" s="10"/>
      <c r="O17" s="10"/>
      <c r="P17" s="10"/>
      <c r="Q17" s="10"/>
      <c r="R17" s="24" t="n">
        <f aca="false">I17-IF(ISNUMBER(M17),J17-M17*Figures!$C$4,0)+N(N17)*Figures!$C$4+N(O17)+N(P17)</f>
        <v>166.85</v>
      </c>
    </row>
    <row r="18" customFormat="false" ht="15" hidden="false" customHeight="false" outlineLevel="0" collapsed="false">
      <c r="A18" s="7" t="s">
        <v>507</v>
      </c>
      <c r="B18" s="7" t="s">
        <v>508</v>
      </c>
      <c r="C18" s="7" t="s">
        <v>509</v>
      </c>
      <c r="D18" s="7" t="s">
        <v>220</v>
      </c>
      <c r="E18" s="7" t="s">
        <v>510</v>
      </c>
      <c r="F18" s="7" t="s">
        <v>511</v>
      </c>
      <c r="G18" s="7" t="s">
        <v>462</v>
      </c>
      <c r="H18" s="7" t="n">
        <v>1</v>
      </c>
      <c r="I18" s="24" t="n">
        <v>150</v>
      </c>
      <c r="J18" s="24" t="n">
        <v>50</v>
      </c>
      <c r="K18" s="7" t="s">
        <v>512</v>
      </c>
      <c r="L18" s="22"/>
      <c r="M18" s="10"/>
      <c r="N18" s="10"/>
      <c r="O18" s="10"/>
      <c r="P18" s="10"/>
      <c r="Q18" s="10"/>
      <c r="R18" s="24" t="n">
        <f aca="false">I18-IF(ISNUMBER(M18),J18-M18*Figures!$C$4,0)+N(N18)*Figures!$C$4+N(O18)+N(P18)</f>
        <v>150</v>
      </c>
    </row>
    <row r="19" customFormat="false" ht="15" hidden="false" customHeight="false" outlineLevel="0" collapsed="false">
      <c r="A19" s="7" t="s">
        <v>513</v>
      </c>
      <c r="B19" s="7" t="s">
        <v>514</v>
      </c>
      <c r="C19" s="7" t="s">
        <v>471</v>
      </c>
      <c r="D19" s="7" t="s">
        <v>214</v>
      </c>
      <c r="E19" s="7" t="s">
        <v>515</v>
      </c>
      <c r="F19" s="7" t="s">
        <v>516</v>
      </c>
      <c r="G19" s="7" t="s">
        <v>462</v>
      </c>
      <c r="H19" s="7" t="n">
        <v>1</v>
      </c>
      <c r="I19" s="24" t="n">
        <v>153.58</v>
      </c>
      <c r="J19" s="24" t="n">
        <v>50</v>
      </c>
      <c r="K19" s="7" t="s">
        <v>517</v>
      </c>
      <c r="L19" s="22"/>
      <c r="M19" s="10"/>
      <c r="N19" s="10"/>
      <c r="O19" s="10"/>
      <c r="P19" s="10"/>
      <c r="Q19" s="10"/>
      <c r="R19" s="24" t="n">
        <f aca="false">I19-IF(ISNUMBER(M19),J19-M19*Figures!$C$4,0)+N(N19)*Figures!$C$4+N(O19)+N(P19)</f>
        <v>153.58</v>
      </c>
    </row>
    <row r="20" customFormat="false" ht="15" hidden="false" customHeight="false" outlineLevel="0" collapsed="false">
      <c r="A20" s="7" t="s">
        <v>518</v>
      </c>
      <c r="B20" s="7" t="s">
        <v>514</v>
      </c>
      <c r="C20" s="7" t="s">
        <v>471</v>
      </c>
      <c r="D20" s="7" t="s">
        <v>214</v>
      </c>
      <c r="E20" s="7" t="s">
        <v>519</v>
      </c>
      <c r="F20" s="7" t="s">
        <v>520</v>
      </c>
      <c r="G20" s="7" t="s">
        <v>521</v>
      </c>
      <c r="H20" s="7" t="n">
        <v>1</v>
      </c>
      <c r="I20" s="24" t="n">
        <v>100</v>
      </c>
      <c r="J20" s="24" t="n">
        <v>0</v>
      </c>
      <c r="K20" s="7"/>
      <c r="L20" s="22"/>
      <c r="M20" s="10"/>
      <c r="N20" s="10"/>
      <c r="O20" s="10"/>
      <c r="P20" s="10"/>
      <c r="Q20" s="10"/>
      <c r="R20" s="24" t="n">
        <f aca="false">I20-IF(ISNUMBER(M20),J20-M20*Figures!$C$4,0)+N(N20)*Figures!$C$4+N(O20)+N(P20)</f>
        <v>100</v>
      </c>
    </row>
    <row r="21" customFormat="false" ht="15" hidden="false" customHeight="false" outlineLevel="0" collapsed="false">
      <c r="A21" s="7" t="s">
        <v>522</v>
      </c>
      <c r="B21" s="7" t="s">
        <v>523</v>
      </c>
      <c r="C21" s="7" t="s">
        <v>524</v>
      </c>
      <c r="D21" s="7" t="s">
        <v>220</v>
      </c>
      <c r="E21" s="7" t="s">
        <v>525</v>
      </c>
      <c r="F21" s="7" t="s">
        <v>526</v>
      </c>
      <c r="G21" s="7" t="s">
        <v>462</v>
      </c>
      <c r="H21" s="7" t="n">
        <v>2</v>
      </c>
      <c r="I21" s="24" t="n">
        <v>191.67</v>
      </c>
      <c r="J21" s="24" t="n">
        <v>91.67</v>
      </c>
      <c r="K21" s="7" t="s">
        <v>527</v>
      </c>
      <c r="L21" s="22"/>
      <c r="M21" s="10"/>
      <c r="N21" s="10"/>
      <c r="O21" s="10"/>
      <c r="P21" s="10"/>
      <c r="Q21" s="10"/>
      <c r="R21" s="24" t="n">
        <f aca="false">I21-IF(ISNUMBER(M21),J21-M21*Figures!$C$4,0)+N(N21)*Figures!$C$4+N(O21)+N(P21)</f>
        <v>191.67</v>
      </c>
    </row>
    <row r="22" customFormat="false" ht="15" hidden="false" customHeight="false" outlineLevel="0" collapsed="false">
      <c r="A22" s="7" t="s">
        <v>528</v>
      </c>
      <c r="B22" s="7" t="s">
        <v>529</v>
      </c>
      <c r="C22" s="7" t="s">
        <v>524</v>
      </c>
      <c r="D22" s="7" t="s">
        <v>220</v>
      </c>
      <c r="E22" s="7" t="s">
        <v>530</v>
      </c>
      <c r="F22" s="7" t="s">
        <v>531</v>
      </c>
      <c r="G22" s="7" t="s">
        <v>462</v>
      </c>
      <c r="H22" s="7" t="n">
        <v>1</v>
      </c>
      <c r="I22" s="24" t="n">
        <v>166.67</v>
      </c>
      <c r="J22" s="24" t="n">
        <v>66.67</v>
      </c>
      <c r="K22" s="7"/>
      <c r="L22" s="22"/>
      <c r="M22" s="10"/>
      <c r="N22" s="10"/>
      <c r="O22" s="10"/>
      <c r="P22" s="10"/>
      <c r="Q22" s="10"/>
      <c r="R22" s="24" t="n">
        <f aca="false">I22-IF(ISNUMBER(M22),J22-M22*Figures!$C$4,0)+N(N22)*Figures!$C$4+N(O22)+N(P22)</f>
        <v>166.67</v>
      </c>
    </row>
    <row r="23" customFormat="false" ht="23.85" hidden="false" customHeight="false" outlineLevel="0" collapsed="false">
      <c r="A23" s="7" t="s">
        <v>532</v>
      </c>
      <c r="B23" s="7" t="s">
        <v>533</v>
      </c>
      <c r="C23" s="7" t="s">
        <v>471</v>
      </c>
      <c r="D23" s="7" t="s">
        <v>214</v>
      </c>
      <c r="E23" s="7" t="s">
        <v>229</v>
      </c>
      <c r="F23" s="7" t="s">
        <v>534</v>
      </c>
      <c r="G23" s="7" t="s">
        <v>462</v>
      </c>
      <c r="H23" s="7" t="n">
        <v>1</v>
      </c>
      <c r="I23" s="24" t="n">
        <v>150</v>
      </c>
      <c r="J23" s="24" t="n">
        <v>50</v>
      </c>
      <c r="K23" s="7"/>
      <c r="L23" s="22"/>
      <c r="M23" s="10"/>
      <c r="N23" s="10"/>
      <c r="O23" s="10"/>
      <c r="P23" s="10"/>
      <c r="Q23" s="10"/>
      <c r="R23" s="24" t="n">
        <f aca="false">I23-IF(ISNUMBER(M23),J23-M23*Figures!$C$4,0)+N(N23)*Figures!$C$4+N(O23)+N(P23)</f>
        <v>150</v>
      </c>
    </row>
    <row r="24" customFormat="false" ht="15" hidden="false" customHeight="false" outlineLevel="0" collapsed="false">
      <c r="A24" s="7" t="s">
        <v>535</v>
      </c>
      <c r="B24" s="7" t="s">
        <v>536</v>
      </c>
      <c r="C24" s="7" t="s">
        <v>458</v>
      </c>
      <c r="D24" s="7" t="s">
        <v>214</v>
      </c>
      <c r="E24" s="7" t="s">
        <v>537</v>
      </c>
      <c r="F24" s="7" t="s">
        <v>538</v>
      </c>
      <c r="G24" s="7" t="s">
        <v>462</v>
      </c>
      <c r="H24" s="7" t="n">
        <v>1</v>
      </c>
      <c r="I24" s="24" t="n">
        <v>166.67</v>
      </c>
      <c r="J24" s="24" t="n">
        <v>66.67</v>
      </c>
      <c r="K24" s="7" t="s">
        <v>539</v>
      </c>
      <c r="L24" s="22"/>
      <c r="M24" s="10"/>
      <c r="N24" s="10"/>
      <c r="O24" s="10"/>
      <c r="P24" s="10"/>
      <c r="Q24" s="10"/>
      <c r="R24" s="24" t="n">
        <f aca="false">I24-IF(ISNUMBER(M24),J24-M24*Figures!$C$4,0)+N(N24)*Figures!$C$4+N(O24)+N(P24)</f>
        <v>166.67</v>
      </c>
    </row>
    <row r="25" customFormat="false" ht="15" hidden="false" customHeight="false" outlineLevel="0" collapsed="false">
      <c r="A25" s="7" t="s">
        <v>540</v>
      </c>
      <c r="B25" s="7" t="s">
        <v>536</v>
      </c>
      <c r="C25" s="7" t="s">
        <v>541</v>
      </c>
      <c r="D25" s="7" t="s">
        <v>220</v>
      </c>
      <c r="E25" s="7" t="s">
        <v>530</v>
      </c>
      <c r="F25" s="7" t="s">
        <v>542</v>
      </c>
      <c r="G25" s="7" t="s">
        <v>462</v>
      </c>
      <c r="H25" s="7" t="n">
        <v>2</v>
      </c>
      <c r="I25" s="24" t="n">
        <v>191.67</v>
      </c>
      <c r="J25" s="24" t="n">
        <v>91.67</v>
      </c>
      <c r="K25" s="7" t="s">
        <v>543</v>
      </c>
      <c r="L25" s="22"/>
      <c r="M25" s="10"/>
      <c r="N25" s="10"/>
      <c r="O25" s="10"/>
      <c r="P25" s="10"/>
      <c r="Q25" s="10"/>
      <c r="R25" s="24" t="n">
        <f aca="false">I25-IF(ISNUMBER(M25),J25-M25*Figures!$C$4,0)+N(N25)*Figures!$C$4+N(O25)+N(P25)</f>
        <v>191.67</v>
      </c>
    </row>
    <row r="26" customFormat="false" ht="15" hidden="false" customHeight="false" outlineLevel="0" collapsed="false">
      <c r="A26" s="7" t="s">
        <v>544</v>
      </c>
      <c r="B26" s="7" t="s">
        <v>536</v>
      </c>
      <c r="C26" s="7" t="s">
        <v>458</v>
      </c>
      <c r="D26" s="7" t="s">
        <v>214</v>
      </c>
      <c r="E26" s="7" t="s">
        <v>545</v>
      </c>
      <c r="F26" s="7" t="s">
        <v>546</v>
      </c>
      <c r="G26" s="7" t="s">
        <v>462</v>
      </c>
      <c r="H26" s="7" t="n">
        <v>1</v>
      </c>
      <c r="I26" s="24" t="n">
        <v>166.67</v>
      </c>
      <c r="J26" s="24" t="n">
        <v>66.67</v>
      </c>
      <c r="K26" s="7"/>
      <c r="L26" s="22"/>
      <c r="M26" s="10"/>
      <c r="N26" s="10"/>
      <c r="O26" s="10"/>
      <c r="P26" s="10"/>
      <c r="Q26" s="10"/>
      <c r="R26" s="24" t="n">
        <f aca="false">I26-IF(ISNUMBER(M26),J26-M26*Figures!$C$4,0)+N(N26)*Figures!$C$4+N(O26)+N(P26)</f>
        <v>166.67</v>
      </c>
    </row>
    <row r="27" customFormat="false" ht="15" hidden="false" customHeight="false" outlineLevel="0" collapsed="false">
      <c r="A27" s="7" t="s">
        <v>547</v>
      </c>
      <c r="B27" s="7" t="s">
        <v>548</v>
      </c>
      <c r="C27" s="7" t="s">
        <v>471</v>
      </c>
      <c r="D27" s="7" t="s">
        <v>214</v>
      </c>
      <c r="E27" s="7" t="s">
        <v>229</v>
      </c>
      <c r="F27" s="7" t="s">
        <v>549</v>
      </c>
      <c r="G27" s="7" t="s">
        <v>462</v>
      </c>
      <c r="H27" s="7" t="n">
        <v>1</v>
      </c>
      <c r="I27" s="24" t="n">
        <v>150</v>
      </c>
      <c r="J27" s="24" t="n">
        <v>50</v>
      </c>
      <c r="K27" s="7"/>
      <c r="L27" s="22"/>
      <c r="M27" s="10"/>
      <c r="N27" s="10"/>
      <c r="O27" s="10"/>
      <c r="P27" s="10"/>
      <c r="Q27" s="10"/>
      <c r="R27" s="24" t="n">
        <f aca="false">I27-IF(ISNUMBER(M27),J27-M27*Figures!$C$4,0)+N(N27)*Figures!$C$4+N(O27)+N(P27)</f>
        <v>150</v>
      </c>
    </row>
    <row r="28" customFormat="false" ht="15" hidden="false" customHeight="false" outlineLevel="0" collapsed="false">
      <c r="A28" s="7" t="s">
        <v>550</v>
      </c>
      <c r="B28" s="7" t="s">
        <v>551</v>
      </c>
      <c r="C28" s="7" t="s">
        <v>552</v>
      </c>
      <c r="D28" s="7" t="s">
        <v>156</v>
      </c>
      <c r="E28" s="7" t="s">
        <v>553</v>
      </c>
      <c r="F28" s="7" t="s">
        <v>554</v>
      </c>
      <c r="G28" s="7" t="s">
        <v>555</v>
      </c>
      <c r="H28" s="7" t="n">
        <v>1</v>
      </c>
      <c r="I28" s="24" t="n">
        <v>100</v>
      </c>
      <c r="J28" s="24" t="n">
        <v>0</v>
      </c>
      <c r="K28" s="7"/>
      <c r="L28" s="22"/>
      <c r="M28" s="10"/>
      <c r="N28" s="10"/>
      <c r="O28" s="10"/>
      <c r="P28" s="10"/>
      <c r="Q28" s="10"/>
      <c r="R28" s="24" t="n">
        <f aca="false">I28-IF(ISNUMBER(M28),J28-M28*Figures!$C$4,0)+N(N28)*Figures!$C$4+N(O28)+N(P28)</f>
        <v>100</v>
      </c>
    </row>
    <row r="29" customFormat="false" ht="15" hidden="false" customHeight="false" outlineLevel="0" collapsed="false">
      <c r="A29" s="7" t="s">
        <v>556</v>
      </c>
      <c r="B29" s="7" t="s">
        <v>551</v>
      </c>
      <c r="C29" s="7" t="s">
        <v>471</v>
      </c>
      <c r="D29" s="7" t="s">
        <v>214</v>
      </c>
      <c r="E29" s="7" t="s">
        <v>229</v>
      </c>
      <c r="F29" s="7" t="s">
        <v>557</v>
      </c>
      <c r="G29" s="7" t="s">
        <v>462</v>
      </c>
      <c r="H29" s="7" t="n">
        <v>1</v>
      </c>
      <c r="I29" s="24" t="n">
        <v>150</v>
      </c>
      <c r="J29" s="24" t="n">
        <v>50</v>
      </c>
      <c r="K29" s="7" t="s">
        <v>558</v>
      </c>
      <c r="L29" s="22"/>
      <c r="M29" s="10"/>
      <c r="N29" s="10"/>
      <c r="O29" s="10"/>
      <c r="P29" s="10"/>
      <c r="Q29" s="10"/>
      <c r="R29" s="24" t="n">
        <f aca="false">I29-IF(ISNUMBER(M29),J29-M29*Figures!$C$4,0)+N(N29)*Figures!$C$4+N(O29)+N(P29)</f>
        <v>150</v>
      </c>
    </row>
    <row r="30" customFormat="false" ht="15" hidden="false" customHeight="false" outlineLevel="0" collapsed="false">
      <c r="A30" s="7" t="s">
        <v>559</v>
      </c>
      <c r="B30" s="7" t="s">
        <v>560</v>
      </c>
      <c r="C30" s="7" t="s">
        <v>471</v>
      </c>
      <c r="D30" s="7" t="s">
        <v>214</v>
      </c>
      <c r="E30" s="7" t="s">
        <v>561</v>
      </c>
      <c r="F30" s="7" t="s">
        <v>562</v>
      </c>
      <c r="G30" s="7" t="s">
        <v>462</v>
      </c>
      <c r="H30" s="7" t="n">
        <v>1</v>
      </c>
      <c r="I30" s="24" t="n">
        <v>150</v>
      </c>
      <c r="J30" s="24" t="n">
        <v>50</v>
      </c>
      <c r="K30" s="7" t="s">
        <v>563</v>
      </c>
      <c r="L30" s="22"/>
      <c r="M30" s="10"/>
      <c r="N30" s="10"/>
      <c r="O30" s="10"/>
      <c r="P30" s="10"/>
      <c r="Q30" s="10"/>
      <c r="R30" s="24" t="n">
        <f aca="false">I30-IF(ISNUMBER(M30),J30-M30*Figures!$C$4,0)+N(N30)*Figures!$C$4+N(O30)+N(P30)</f>
        <v>150</v>
      </c>
    </row>
    <row r="31" customFormat="false" ht="15" hidden="false" customHeight="false" outlineLevel="0" collapsed="false">
      <c r="A31" s="7" t="s">
        <v>564</v>
      </c>
      <c r="B31" s="7" t="s">
        <v>560</v>
      </c>
      <c r="C31" s="7" t="s">
        <v>471</v>
      </c>
      <c r="D31" s="7" t="s">
        <v>156</v>
      </c>
      <c r="E31" s="7" t="s">
        <v>565</v>
      </c>
      <c r="F31" s="7" t="s">
        <v>566</v>
      </c>
      <c r="G31" s="7" t="s">
        <v>462</v>
      </c>
      <c r="H31" s="7" t="n">
        <v>1</v>
      </c>
      <c r="I31" s="24" t="n">
        <v>170.83</v>
      </c>
      <c r="J31" s="24" t="n">
        <v>70.83</v>
      </c>
      <c r="K31" s="7" t="s">
        <v>567</v>
      </c>
      <c r="L31" s="22"/>
      <c r="M31" s="10"/>
      <c r="N31" s="10"/>
      <c r="O31" s="10"/>
      <c r="P31" s="10"/>
      <c r="Q31" s="10"/>
      <c r="R31" s="24" t="n">
        <f aca="false">I31-IF(ISNUMBER(M31),J31-M31*Figures!$C$4,0)+N(N31)*Figures!$C$4+N(O31)+N(P31)</f>
        <v>170.83</v>
      </c>
    </row>
    <row r="32" customFormat="false" ht="15" hidden="false" customHeight="false" outlineLevel="0" collapsed="false">
      <c r="A32" s="7" t="s">
        <v>568</v>
      </c>
      <c r="B32" s="7" t="s">
        <v>569</v>
      </c>
      <c r="C32" s="7" t="s">
        <v>471</v>
      </c>
      <c r="D32" s="7" t="s">
        <v>214</v>
      </c>
      <c r="E32" s="7" t="s">
        <v>570</v>
      </c>
      <c r="F32" s="7" t="s">
        <v>571</v>
      </c>
      <c r="G32" s="7" t="s">
        <v>462</v>
      </c>
      <c r="H32" s="7" t="n">
        <v>1</v>
      </c>
      <c r="I32" s="24" t="n">
        <v>159.18</v>
      </c>
      <c r="J32" s="24" t="n">
        <v>58.33</v>
      </c>
      <c r="K32" s="7"/>
      <c r="L32" s="22"/>
      <c r="M32" s="10"/>
      <c r="N32" s="10"/>
      <c r="O32" s="10"/>
      <c r="P32" s="10"/>
      <c r="Q32" s="10"/>
      <c r="R32" s="24" t="n">
        <f aca="false">I32-IF(ISNUMBER(M32),J32-M32*Figures!$C$4,0)+N(N32)*Figures!$C$4+N(O32)+N(P32)</f>
        <v>159.18</v>
      </c>
    </row>
    <row r="33" customFormat="false" ht="15" hidden="false" customHeight="false" outlineLevel="0" collapsed="false">
      <c r="A33" s="7" t="s">
        <v>572</v>
      </c>
      <c r="B33" s="7" t="s">
        <v>573</v>
      </c>
      <c r="C33" s="7" t="s">
        <v>471</v>
      </c>
      <c r="D33" s="7" t="s">
        <v>156</v>
      </c>
      <c r="E33" s="7" t="s">
        <v>565</v>
      </c>
      <c r="F33" s="7" t="s">
        <v>574</v>
      </c>
      <c r="G33" s="7" t="s">
        <v>462</v>
      </c>
      <c r="H33" s="7" t="n">
        <v>1</v>
      </c>
      <c r="I33" s="24" t="n">
        <v>159.18</v>
      </c>
      <c r="J33" s="24" t="n">
        <v>58.33</v>
      </c>
      <c r="K33" s="7" t="s">
        <v>575</v>
      </c>
      <c r="L33" s="22"/>
      <c r="M33" s="10"/>
      <c r="N33" s="10"/>
      <c r="O33" s="10"/>
      <c r="P33" s="10"/>
      <c r="Q33" s="10"/>
      <c r="R33" s="24" t="n">
        <f aca="false">I33-IF(ISNUMBER(M33),J33-M33*Figures!$C$4,0)+N(N33)*Figures!$C$4+N(O33)+N(P33)</f>
        <v>159.18</v>
      </c>
    </row>
    <row r="34" customFormat="false" ht="15" hidden="false" customHeight="false" outlineLevel="0" collapsed="false">
      <c r="A34" s="7" t="s">
        <v>576</v>
      </c>
      <c r="B34" s="7" t="s">
        <v>577</v>
      </c>
      <c r="C34" s="7" t="s">
        <v>471</v>
      </c>
      <c r="D34" s="7" t="s">
        <v>156</v>
      </c>
      <c r="E34" s="7" t="s">
        <v>578</v>
      </c>
      <c r="F34" s="7" t="s">
        <v>579</v>
      </c>
      <c r="G34" s="7" t="s">
        <v>462</v>
      </c>
      <c r="H34" s="7" t="n">
        <v>1</v>
      </c>
      <c r="I34" s="24" t="n">
        <v>166.67</v>
      </c>
      <c r="J34" s="24" t="n">
        <v>66.67</v>
      </c>
      <c r="K34" s="7"/>
      <c r="L34" s="22"/>
      <c r="M34" s="10"/>
      <c r="N34" s="10"/>
      <c r="O34" s="10"/>
      <c r="P34" s="10"/>
      <c r="Q34" s="10"/>
      <c r="R34" s="24" t="n">
        <f aca="false">I34-IF(ISNUMBER(M34),J34-M34*Figures!$C$4,0)+N(N34)*Figures!$C$4+N(O34)+N(P34)</f>
        <v>166.67</v>
      </c>
    </row>
    <row r="35" customFormat="false" ht="15" hidden="false" customHeight="false" outlineLevel="0" collapsed="false">
      <c r="A35" s="7" t="s">
        <v>580</v>
      </c>
      <c r="B35" s="7" t="s">
        <v>581</v>
      </c>
      <c r="C35" s="7" t="s">
        <v>471</v>
      </c>
      <c r="D35" s="7" t="s">
        <v>156</v>
      </c>
      <c r="E35" s="7" t="s">
        <v>582</v>
      </c>
      <c r="F35" s="7" t="s">
        <v>583</v>
      </c>
      <c r="G35" s="7" t="s">
        <v>462</v>
      </c>
      <c r="H35" s="7" t="n">
        <v>1</v>
      </c>
      <c r="I35" s="24" t="n">
        <v>150</v>
      </c>
      <c r="J35" s="24" t="n">
        <v>50</v>
      </c>
      <c r="K35" s="7" t="s">
        <v>584</v>
      </c>
      <c r="L35" s="22"/>
      <c r="M35" s="10"/>
      <c r="N35" s="10"/>
      <c r="O35" s="10"/>
      <c r="P35" s="10"/>
      <c r="Q35" s="10"/>
      <c r="R35" s="24" t="n">
        <f aca="false">I35-IF(ISNUMBER(M35),J35-M35*Figures!$C$4,0)+N(N35)*Figures!$C$4+N(O35)+N(P35)</f>
        <v>150</v>
      </c>
    </row>
    <row r="36" customFormat="false" ht="15" hidden="false" customHeight="false" outlineLevel="0" collapsed="false">
      <c r="A36" s="7" t="s">
        <v>585</v>
      </c>
      <c r="B36" s="7" t="s">
        <v>586</v>
      </c>
      <c r="C36" s="7" t="s">
        <v>471</v>
      </c>
      <c r="D36" s="7" t="s">
        <v>156</v>
      </c>
      <c r="E36" s="7" t="s">
        <v>587</v>
      </c>
      <c r="F36" s="7" t="s">
        <v>588</v>
      </c>
      <c r="G36" s="7" t="s">
        <v>462</v>
      </c>
      <c r="H36" s="7" t="n">
        <v>1</v>
      </c>
      <c r="I36" s="24" t="n">
        <v>154.17</v>
      </c>
      <c r="J36" s="24" t="n">
        <v>54.17</v>
      </c>
      <c r="K36" s="7"/>
      <c r="L36" s="22"/>
      <c r="M36" s="10"/>
      <c r="N36" s="10"/>
      <c r="O36" s="10"/>
      <c r="P36" s="10"/>
      <c r="Q36" s="10"/>
      <c r="R36" s="24" t="n">
        <f aca="false">I36-IF(ISNUMBER(M36),J36-M36*Figures!$C$4,0)+N(N36)*Figures!$C$4+N(O36)+N(P36)</f>
        <v>154.17</v>
      </c>
    </row>
    <row r="37" customFormat="false" ht="15" hidden="false" customHeight="false" outlineLevel="0" collapsed="false">
      <c r="A37" s="7" t="s">
        <v>589</v>
      </c>
      <c r="B37" s="7" t="s">
        <v>590</v>
      </c>
      <c r="C37" s="7" t="s">
        <v>524</v>
      </c>
      <c r="D37" s="7" t="s">
        <v>220</v>
      </c>
      <c r="E37" s="7" t="s">
        <v>591</v>
      </c>
      <c r="F37" s="7" t="s">
        <v>592</v>
      </c>
      <c r="G37" s="7" t="s">
        <v>593</v>
      </c>
      <c r="H37" s="7" t="n">
        <v>1</v>
      </c>
      <c r="I37" s="24" t="n">
        <v>166.67</v>
      </c>
      <c r="J37" s="24" t="n">
        <v>66.67</v>
      </c>
      <c r="K37" s="7" t="s">
        <v>594</v>
      </c>
      <c r="L37" s="22"/>
      <c r="M37" s="10"/>
      <c r="N37" s="10"/>
      <c r="O37" s="10"/>
      <c r="P37" s="10"/>
      <c r="Q37" s="10"/>
      <c r="R37" s="24" t="n">
        <f aca="false">I37-IF(ISNUMBER(M37),J37-M37*Figures!$C$4,0)+N(N37)*Figures!$C$4+N(O37)+N(P37)</f>
        <v>166.67</v>
      </c>
    </row>
    <row r="38" customFormat="false" ht="15" hidden="false" customHeight="false" outlineLevel="0" collapsed="false">
      <c r="A38" s="7" t="s">
        <v>595</v>
      </c>
      <c r="B38" s="7" t="s">
        <v>596</v>
      </c>
      <c r="C38" s="7" t="s">
        <v>471</v>
      </c>
      <c r="D38" s="7" t="s">
        <v>156</v>
      </c>
      <c r="E38" s="7" t="s">
        <v>597</v>
      </c>
      <c r="F38" s="7" t="s">
        <v>598</v>
      </c>
      <c r="G38" s="7" t="s">
        <v>462</v>
      </c>
      <c r="H38" s="7" t="n">
        <v>1</v>
      </c>
      <c r="I38" s="24" t="n">
        <v>166.67</v>
      </c>
      <c r="J38" s="24" t="n">
        <v>66.67</v>
      </c>
      <c r="K38" s="7" t="s">
        <v>599</v>
      </c>
      <c r="L38" s="22"/>
      <c r="M38" s="10"/>
      <c r="N38" s="10"/>
      <c r="O38" s="10"/>
      <c r="P38" s="10"/>
      <c r="Q38" s="10"/>
      <c r="R38" s="24" t="n">
        <f aca="false">I38-IF(ISNUMBER(M38),J38-M38*Figures!$C$4,0)+N(N38)*Figures!$C$4+N(O38)+N(P38)</f>
        <v>166.67</v>
      </c>
    </row>
    <row r="39" customFormat="false" ht="15" hidden="false" customHeight="false" outlineLevel="0" collapsed="false">
      <c r="A39" s="7" t="s">
        <v>600</v>
      </c>
      <c r="B39" s="7" t="s">
        <v>601</v>
      </c>
      <c r="C39" s="7" t="s">
        <v>458</v>
      </c>
      <c r="D39" s="7" t="s">
        <v>214</v>
      </c>
      <c r="E39" s="7" t="s">
        <v>602</v>
      </c>
      <c r="F39" s="7" t="s">
        <v>603</v>
      </c>
      <c r="G39" s="7" t="s">
        <v>604</v>
      </c>
      <c r="H39" s="7" t="n">
        <v>1</v>
      </c>
      <c r="I39" s="24" t="n">
        <v>100</v>
      </c>
      <c r="J39" s="24" t="n">
        <v>0</v>
      </c>
      <c r="K39" s="7"/>
      <c r="L39" s="22"/>
      <c r="M39" s="10"/>
      <c r="N39" s="10"/>
      <c r="O39" s="10"/>
      <c r="P39" s="10"/>
      <c r="Q39" s="10"/>
      <c r="R39" s="24" t="n">
        <f aca="false">I39-IF(ISNUMBER(M39),J39-M39*Figures!$C$4,0)+N(N39)*Figures!$C$4+N(O39)+N(P39)</f>
        <v>100</v>
      </c>
    </row>
    <row r="40" customFormat="false" ht="15" hidden="false" customHeight="false" outlineLevel="0" collapsed="false">
      <c r="A40" s="7" t="s">
        <v>605</v>
      </c>
      <c r="B40" s="7" t="s">
        <v>606</v>
      </c>
      <c r="C40" s="7" t="s">
        <v>471</v>
      </c>
      <c r="D40" s="7" t="s">
        <v>156</v>
      </c>
      <c r="E40" s="7" t="s">
        <v>607</v>
      </c>
      <c r="F40" s="7" t="s">
        <v>608</v>
      </c>
      <c r="G40" s="7" t="s">
        <v>462</v>
      </c>
      <c r="H40" s="7" t="n">
        <v>1</v>
      </c>
      <c r="I40" s="24" t="n">
        <v>150</v>
      </c>
      <c r="J40" s="24" t="n">
        <v>50</v>
      </c>
      <c r="K40" s="7"/>
      <c r="L40" s="22"/>
      <c r="M40" s="10"/>
      <c r="N40" s="10"/>
      <c r="O40" s="10"/>
      <c r="P40" s="10"/>
      <c r="Q40" s="10"/>
      <c r="R40" s="24" t="n">
        <f aca="false">I40-IF(ISNUMBER(M40),J40-M40*Figures!$C$4,0)+N(N40)*Figures!$C$4+N(O40)+N(P40)</f>
        <v>150</v>
      </c>
    </row>
    <row r="41" customFormat="false" ht="15" hidden="false" customHeight="false" outlineLevel="0" collapsed="false">
      <c r="A41" s="7" t="s">
        <v>609</v>
      </c>
      <c r="B41" s="7" t="s">
        <v>606</v>
      </c>
      <c r="C41" s="7" t="s">
        <v>471</v>
      </c>
      <c r="D41" s="7" t="s">
        <v>156</v>
      </c>
      <c r="E41" s="7" t="s">
        <v>607</v>
      </c>
      <c r="F41" s="7" t="s">
        <v>610</v>
      </c>
      <c r="G41" s="7" t="s">
        <v>462</v>
      </c>
      <c r="H41" s="7" t="n">
        <v>2</v>
      </c>
      <c r="I41" s="24" t="n">
        <v>150</v>
      </c>
      <c r="J41" s="24" t="n">
        <v>50</v>
      </c>
      <c r="K41" s="7" t="s">
        <v>611</v>
      </c>
      <c r="L41" s="22"/>
      <c r="M41" s="10"/>
      <c r="N41" s="10"/>
      <c r="O41" s="10"/>
      <c r="P41" s="10"/>
      <c r="Q41" s="10"/>
      <c r="R41" s="24" t="n">
        <f aca="false">I41-IF(ISNUMBER(M41),J41-M41*Figures!$C$4,0)+N(N41)*Figures!$C$4+N(O41)+N(P41)</f>
        <v>150</v>
      </c>
    </row>
    <row r="42" customFormat="false" ht="15" hidden="false" customHeight="false" outlineLevel="0" collapsed="false">
      <c r="A42" s="7" t="s">
        <v>612</v>
      </c>
      <c r="B42" s="7" t="s">
        <v>613</v>
      </c>
      <c r="C42" s="7" t="s">
        <v>458</v>
      </c>
      <c r="D42" s="7" t="s">
        <v>214</v>
      </c>
      <c r="E42" s="7" t="s">
        <v>614</v>
      </c>
      <c r="F42" s="7" t="s">
        <v>615</v>
      </c>
      <c r="G42" s="7" t="s">
        <v>462</v>
      </c>
      <c r="H42" s="7" t="n">
        <v>1</v>
      </c>
      <c r="I42" s="24" t="n">
        <v>154.17</v>
      </c>
      <c r="J42" s="24" t="n">
        <v>54.17</v>
      </c>
      <c r="K42" s="7" t="s">
        <v>616</v>
      </c>
      <c r="L42" s="22"/>
      <c r="M42" s="10"/>
      <c r="N42" s="10"/>
      <c r="O42" s="10"/>
      <c r="P42" s="10"/>
      <c r="Q42" s="10"/>
      <c r="R42" s="24" t="n">
        <f aca="false">I42-IF(ISNUMBER(M42),J42-M42*Figures!$C$4,0)+N(N42)*Figures!$C$4+N(O42)+N(P42)</f>
        <v>154.17</v>
      </c>
    </row>
    <row r="43" customFormat="false" ht="15" hidden="false" customHeight="false" outlineLevel="0" collapsed="false">
      <c r="A43" s="7" t="s">
        <v>617</v>
      </c>
      <c r="B43" s="7" t="s">
        <v>618</v>
      </c>
      <c r="C43" s="7" t="s">
        <v>471</v>
      </c>
      <c r="D43" s="7" t="s">
        <v>156</v>
      </c>
      <c r="E43" s="7" t="s">
        <v>597</v>
      </c>
      <c r="F43" s="7" t="s">
        <v>619</v>
      </c>
      <c r="G43" s="7" t="s">
        <v>462</v>
      </c>
      <c r="H43" s="7" t="n">
        <v>1</v>
      </c>
      <c r="I43" s="24" t="n">
        <v>150</v>
      </c>
      <c r="J43" s="24" t="n">
        <v>50</v>
      </c>
      <c r="K43" s="7" t="s">
        <v>620</v>
      </c>
      <c r="L43" s="22"/>
      <c r="M43" s="10"/>
      <c r="N43" s="10"/>
      <c r="O43" s="10"/>
      <c r="P43" s="10"/>
      <c r="Q43" s="10"/>
      <c r="R43" s="24" t="n">
        <f aca="false">I43-IF(ISNUMBER(M43),J43-M43*Figures!$C$4,0)+N(N43)*Figures!$C$4+N(O43)+N(P43)</f>
        <v>150</v>
      </c>
    </row>
    <row r="44" customFormat="false" ht="15" hidden="false" customHeight="false" outlineLevel="0" collapsed="false">
      <c r="A44" s="7" t="s">
        <v>621</v>
      </c>
      <c r="B44" s="7" t="s">
        <v>622</v>
      </c>
      <c r="C44" s="7" t="s">
        <v>458</v>
      </c>
      <c r="D44" s="7" t="s">
        <v>214</v>
      </c>
      <c r="E44" s="7" t="s">
        <v>623</v>
      </c>
      <c r="F44" s="7" t="s">
        <v>624</v>
      </c>
      <c r="G44" s="7" t="s">
        <v>462</v>
      </c>
      <c r="H44" s="7" t="n">
        <v>1</v>
      </c>
      <c r="I44" s="24" t="n">
        <v>154.17</v>
      </c>
      <c r="J44" s="24" t="n">
        <v>54.17</v>
      </c>
      <c r="K44" s="7" t="s">
        <v>625</v>
      </c>
      <c r="L44" s="22"/>
      <c r="M44" s="10"/>
      <c r="N44" s="10"/>
      <c r="O44" s="10"/>
      <c r="P44" s="10"/>
      <c r="Q44" s="10"/>
      <c r="R44" s="24" t="n">
        <f aca="false">I44-IF(ISNUMBER(M44),J44-M44*Figures!$C$4,0)+N(N44)*Figures!$C$4+N(O44)+N(P44)</f>
        <v>154.17</v>
      </c>
    </row>
    <row r="45" customFormat="false" ht="15" hidden="false" customHeight="false" outlineLevel="0" collapsed="false">
      <c r="A45" s="7" t="s">
        <v>626</v>
      </c>
      <c r="B45" s="7" t="s">
        <v>627</v>
      </c>
      <c r="C45" s="7" t="s">
        <v>458</v>
      </c>
      <c r="D45" s="7" t="s">
        <v>459</v>
      </c>
      <c r="E45" s="7" t="s">
        <v>628</v>
      </c>
      <c r="F45" s="7" t="s">
        <v>629</v>
      </c>
      <c r="G45" s="7" t="s">
        <v>462</v>
      </c>
      <c r="H45" s="7" t="n">
        <v>0</v>
      </c>
      <c r="I45" s="24" t="n">
        <v>150</v>
      </c>
      <c r="J45" s="24" t="n">
        <v>50</v>
      </c>
      <c r="K45" s="7" t="s">
        <v>630</v>
      </c>
      <c r="L45" s="22"/>
      <c r="M45" s="10"/>
      <c r="N45" s="10"/>
      <c r="O45" s="10"/>
      <c r="P45" s="10"/>
      <c r="Q45" s="10"/>
      <c r="R45" s="24" t="n">
        <f aca="false">I45-IF(ISNUMBER(M45),J45-M45*Figures!$C$4,0)+N(N45)*Figures!$C$4+N(O45)+N(P45)</f>
        <v>150</v>
      </c>
    </row>
    <row r="46" customFormat="false" ht="15" hidden="false" customHeight="false" outlineLevel="0" collapsed="false">
      <c r="A46" s="7" t="s">
        <v>631</v>
      </c>
      <c r="B46" s="7" t="s">
        <v>632</v>
      </c>
      <c r="C46" s="7" t="s">
        <v>471</v>
      </c>
      <c r="D46" s="7" t="s">
        <v>156</v>
      </c>
      <c r="E46" s="7" t="s">
        <v>633</v>
      </c>
      <c r="F46" s="7" t="s">
        <v>634</v>
      </c>
      <c r="G46" s="7" t="s">
        <v>462</v>
      </c>
      <c r="H46" s="7" t="n">
        <v>2</v>
      </c>
      <c r="I46" s="24" t="n">
        <v>191.67</v>
      </c>
      <c r="J46" s="24" t="n">
        <v>91.67</v>
      </c>
      <c r="K46" s="7"/>
      <c r="L46" s="22"/>
      <c r="M46" s="10"/>
      <c r="N46" s="10"/>
      <c r="O46" s="10"/>
      <c r="P46" s="10"/>
      <c r="Q46" s="10"/>
      <c r="R46" s="24" t="n">
        <f aca="false">I46-IF(ISNUMBER(M46),J46-M46*Figures!$C$4,0)+N(N46)*Figures!$C$4+N(O46)+N(P46)</f>
        <v>191.67</v>
      </c>
    </row>
    <row r="47" customFormat="false" ht="15" hidden="false" customHeight="false" outlineLevel="0" collapsed="false">
      <c r="A47" s="7" t="s">
        <v>635</v>
      </c>
      <c r="B47" s="7" t="s">
        <v>632</v>
      </c>
      <c r="C47" s="7" t="s">
        <v>458</v>
      </c>
      <c r="D47" s="7" t="s">
        <v>214</v>
      </c>
      <c r="E47" s="7" t="s">
        <v>636</v>
      </c>
      <c r="F47" s="7" t="s">
        <v>637</v>
      </c>
      <c r="G47" s="7" t="s">
        <v>462</v>
      </c>
      <c r="H47" s="7" t="n">
        <v>1</v>
      </c>
      <c r="I47" s="24" t="n">
        <v>157.2</v>
      </c>
      <c r="J47" s="24" t="n">
        <v>50</v>
      </c>
      <c r="K47" s="7" t="s">
        <v>638</v>
      </c>
      <c r="L47" s="22"/>
      <c r="M47" s="10"/>
      <c r="N47" s="10"/>
      <c r="O47" s="10"/>
      <c r="P47" s="10"/>
      <c r="Q47" s="10"/>
      <c r="R47" s="24" t="n">
        <f aca="false">I47-IF(ISNUMBER(M47),J47-M47*Figures!$C$4,0)+N(N47)*Figures!$C$4+N(O47)+N(P47)</f>
        <v>157.2</v>
      </c>
    </row>
    <row r="48" customFormat="false" ht="15" hidden="false" customHeight="false" outlineLevel="0" collapsed="false">
      <c r="A48" s="7" t="s">
        <v>639</v>
      </c>
      <c r="B48" s="7" t="s">
        <v>632</v>
      </c>
      <c r="C48" s="7" t="s">
        <v>458</v>
      </c>
      <c r="D48" s="7" t="s">
        <v>214</v>
      </c>
      <c r="E48" s="7" t="s">
        <v>640</v>
      </c>
      <c r="F48" s="7" t="s">
        <v>641</v>
      </c>
      <c r="G48" s="7" t="s">
        <v>462</v>
      </c>
      <c r="H48" s="7" t="n">
        <v>1</v>
      </c>
      <c r="I48" s="24" t="n">
        <v>166.67</v>
      </c>
      <c r="J48" s="24" t="n">
        <v>66.67</v>
      </c>
      <c r="K48" s="7"/>
      <c r="L48" s="22"/>
      <c r="M48" s="10"/>
      <c r="N48" s="10"/>
      <c r="O48" s="10"/>
      <c r="P48" s="10"/>
      <c r="Q48" s="10"/>
      <c r="R48" s="24" t="n">
        <f aca="false">I48-IF(ISNUMBER(M48),J48-M48*Figures!$C$4,0)+N(N48)*Figures!$C$4+N(O48)+N(P48)</f>
        <v>166.67</v>
      </c>
    </row>
    <row r="49" customFormat="false" ht="15" hidden="false" customHeight="false" outlineLevel="0" collapsed="false">
      <c r="A49" s="7" t="s">
        <v>642</v>
      </c>
      <c r="B49" s="7" t="s">
        <v>632</v>
      </c>
      <c r="C49" s="7" t="s">
        <v>471</v>
      </c>
      <c r="D49" s="7" t="s">
        <v>156</v>
      </c>
      <c r="E49" s="7" t="s">
        <v>633</v>
      </c>
      <c r="F49" s="7" t="s">
        <v>643</v>
      </c>
      <c r="G49" s="7" t="s">
        <v>462</v>
      </c>
      <c r="H49" s="7" t="n">
        <v>1</v>
      </c>
      <c r="I49" s="24" t="n">
        <v>166.67</v>
      </c>
      <c r="J49" s="24" t="n">
        <v>66.67</v>
      </c>
      <c r="K49" s="7" t="s">
        <v>644</v>
      </c>
      <c r="L49" s="22"/>
      <c r="M49" s="10"/>
      <c r="N49" s="10"/>
      <c r="O49" s="10"/>
      <c r="P49" s="10"/>
      <c r="Q49" s="10"/>
      <c r="R49" s="24" t="n">
        <f aca="false">I49-IF(ISNUMBER(M49),J49-M49*Figures!$C$4,0)+N(N49)*Figures!$C$4+N(O49)+N(P49)</f>
        <v>166.67</v>
      </c>
    </row>
    <row r="50" customFormat="false" ht="15" hidden="false" customHeight="false" outlineLevel="0" collapsed="false">
      <c r="A50" s="7" t="s">
        <v>645</v>
      </c>
      <c r="B50" s="7" t="s">
        <v>646</v>
      </c>
      <c r="C50" s="7" t="s">
        <v>471</v>
      </c>
      <c r="D50" s="7" t="s">
        <v>156</v>
      </c>
      <c r="E50" s="7" t="s">
        <v>633</v>
      </c>
      <c r="F50" s="7" t="s">
        <v>647</v>
      </c>
      <c r="G50" s="7" t="s">
        <v>462</v>
      </c>
      <c r="H50" s="7" t="n">
        <v>1</v>
      </c>
      <c r="I50" s="24" t="n">
        <v>150</v>
      </c>
      <c r="J50" s="24" t="n">
        <v>50</v>
      </c>
      <c r="K50" s="7" t="s">
        <v>648</v>
      </c>
      <c r="L50" s="22"/>
      <c r="M50" s="10"/>
      <c r="N50" s="10"/>
      <c r="O50" s="10"/>
      <c r="P50" s="10"/>
      <c r="Q50" s="10"/>
      <c r="R50" s="24" t="n">
        <f aca="false">I50-IF(ISNUMBER(M50),J50-M50*Figures!$C$4,0)+N(N50)*Figures!$C$4+N(O50)+N(P50)</f>
        <v>150</v>
      </c>
    </row>
    <row r="51" customFormat="false" ht="15" hidden="false" customHeight="false" outlineLevel="0" collapsed="false">
      <c r="A51" s="7" t="s">
        <v>649</v>
      </c>
      <c r="B51" s="7" t="s">
        <v>650</v>
      </c>
      <c r="C51" s="7" t="s">
        <v>471</v>
      </c>
      <c r="D51" s="7" t="s">
        <v>156</v>
      </c>
      <c r="E51" s="7" t="s">
        <v>651</v>
      </c>
      <c r="F51" s="7" t="s">
        <v>652</v>
      </c>
      <c r="G51" s="7" t="s">
        <v>462</v>
      </c>
      <c r="H51" s="7" t="n">
        <v>1</v>
      </c>
      <c r="I51" s="24" t="n">
        <v>166.67</v>
      </c>
      <c r="J51" s="24" t="n">
        <v>66.67</v>
      </c>
      <c r="K51" s="7" t="s">
        <v>653</v>
      </c>
      <c r="L51" s="22"/>
      <c r="M51" s="10"/>
      <c r="N51" s="10"/>
      <c r="O51" s="10"/>
      <c r="P51" s="10"/>
      <c r="Q51" s="10"/>
      <c r="R51" s="24" t="n">
        <f aca="false">I51-IF(ISNUMBER(M51),J51-M51*Figures!$C$4,0)+N(N51)*Figures!$C$4+N(O51)+N(P51)</f>
        <v>166.67</v>
      </c>
    </row>
    <row r="52" customFormat="false" ht="15" hidden="false" customHeight="false" outlineLevel="0" collapsed="false">
      <c r="A52" s="7" t="s">
        <v>654</v>
      </c>
      <c r="B52" s="7" t="s">
        <v>655</v>
      </c>
      <c r="C52" s="7" t="s">
        <v>552</v>
      </c>
      <c r="D52" s="7" t="s">
        <v>156</v>
      </c>
      <c r="E52" s="7" t="s">
        <v>656</v>
      </c>
      <c r="F52" s="7" t="s">
        <v>657</v>
      </c>
      <c r="G52" s="7" t="s">
        <v>555</v>
      </c>
      <c r="H52" s="7" t="n">
        <v>1</v>
      </c>
      <c r="I52" s="24" t="n">
        <v>100</v>
      </c>
      <c r="J52" s="24" t="n">
        <v>0</v>
      </c>
      <c r="K52" s="7"/>
      <c r="L52" s="22"/>
      <c r="M52" s="10"/>
      <c r="N52" s="10"/>
      <c r="O52" s="10"/>
      <c r="P52" s="10"/>
      <c r="Q52" s="10"/>
      <c r="R52" s="24" t="n">
        <f aca="false">I52-IF(ISNUMBER(M52),J52-M52*Figures!$C$4,0)+N(N52)*Figures!$C$4+N(O52)+N(P52)</f>
        <v>100</v>
      </c>
    </row>
    <row r="53" customFormat="false" ht="15" hidden="false" customHeight="false" outlineLevel="0" collapsed="false">
      <c r="A53" s="7" t="s">
        <v>658</v>
      </c>
      <c r="B53" s="7" t="s">
        <v>659</v>
      </c>
      <c r="C53" s="7" t="s">
        <v>471</v>
      </c>
      <c r="D53" s="7" t="s">
        <v>156</v>
      </c>
      <c r="E53" s="7" t="s">
        <v>660</v>
      </c>
      <c r="F53" s="7" t="s">
        <v>661</v>
      </c>
      <c r="G53" s="7" t="s">
        <v>462</v>
      </c>
      <c r="H53" s="7" t="n">
        <v>1</v>
      </c>
      <c r="I53" s="24" t="n">
        <v>150</v>
      </c>
      <c r="J53" s="24" t="n">
        <v>50</v>
      </c>
      <c r="K53" s="7"/>
      <c r="L53" s="22"/>
      <c r="M53" s="10"/>
      <c r="N53" s="10"/>
      <c r="O53" s="10"/>
      <c r="P53" s="10"/>
      <c r="Q53" s="10"/>
      <c r="R53" s="24" t="n">
        <f aca="false">I53-IF(ISNUMBER(M53),J53-M53*Figures!$C$4,0)+N(N53)*Figures!$C$4+N(O53)+N(P53)</f>
        <v>150</v>
      </c>
    </row>
    <row r="54" customFormat="false" ht="15" hidden="false" customHeight="false" outlineLevel="0" collapsed="false">
      <c r="A54" s="7" t="s">
        <v>662</v>
      </c>
      <c r="B54" s="7" t="s">
        <v>663</v>
      </c>
      <c r="C54" s="7" t="s">
        <v>471</v>
      </c>
      <c r="D54" s="7" t="s">
        <v>156</v>
      </c>
      <c r="E54" s="7" t="s">
        <v>664</v>
      </c>
      <c r="F54" s="7" t="s">
        <v>665</v>
      </c>
      <c r="G54" s="7" t="s">
        <v>462</v>
      </c>
      <c r="H54" s="7" t="n">
        <v>1</v>
      </c>
      <c r="I54" s="24" t="n">
        <v>151.32</v>
      </c>
      <c r="J54" s="24" t="n">
        <v>50</v>
      </c>
      <c r="K54" s="7" t="s">
        <v>666</v>
      </c>
      <c r="L54" s="22"/>
      <c r="M54" s="10"/>
      <c r="N54" s="10"/>
      <c r="O54" s="10"/>
      <c r="P54" s="10"/>
      <c r="Q54" s="10"/>
      <c r="R54" s="24" t="n">
        <f aca="false">I54-IF(ISNUMBER(M54),J54-M54*Figures!$C$4,0)+N(N54)*Figures!$C$4+N(O54)+N(P54)</f>
        <v>151.32</v>
      </c>
    </row>
    <row r="55" customFormat="false" ht="15" hidden="false" customHeight="false" outlineLevel="0" collapsed="false">
      <c r="A55" s="7" t="s">
        <v>667</v>
      </c>
      <c r="B55" s="7" t="s">
        <v>668</v>
      </c>
      <c r="C55" s="7" t="s">
        <v>471</v>
      </c>
      <c r="D55" s="7" t="s">
        <v>156</v>
      </c>
      <c r="E55" s="7" t="s">
        <v>669</v>
      </c>
      <c r="F55" s="7" t="s">
        <v>661</v>
      </c>
      <c r="G55" s="7" t="s">
        <v>462</v>
      </c>
      <c r="H55" s="7" t="n">
        <v>1</v>
      </c>
      <c r="I55" s="24" t="n">
        <v>150</v>
      </c>
      <c r="J55" s="24" t="n">
        <v>50</v>
      </c>
      <c r="K55" s="7" t="s">
        <v>670</v>
      </c>
      <c r="L55" s="22"/>
      <c r="M55" s="10"/>
      <c r="N55" s="10"/>
      <c r="O55" s="10"/>
      <c r="P55" s="10"/>
      <c r="Q55" s="10"/>
      <c r="R55" s="24" t="n">
        <f aca="false">I55-IF(ISNUMBER(M55),J55-M55*Figures!$C$4,0)+N(N55)*Figures!$C$4+N(O55)+N(P55)</f>
        <v>150</v>
      </c>
    </row>
    <row r="56" customFormat="false" ht="15" hidden="false" customHeight="false" outlineLevel="0" collapsed="false">
      <c r="A56" s="7" t="s">
        <v>671</v>
      </c>
      <c r="B56" s="7" t="s">
        <v>668</v>
      </c>
      <c r="C56" s="7" t="s">
        <v>471</v>
      </c>
      <c r="D56" s="7" t="s">
        <v>156</v>
      </c>
      <c r="E56" s="7" t="s">
        <v>669</v>
      </c>
      <c r="F56" s="7" t="s">
        <v>672</v>
      </c>
      <c r="G56" s="7" t="s">
        <v>462</v>
      </c>
      <c r="H56" s="7" t="n">
        <v>1</v>
      </c>
      <c r="I56" s="24" t="n">
        <v>150</v>
      </c>
      <c r="J56" s="24" t="n">
        <v>50</v>
      </c>
      <c r="K56" s="7" t="s">
        <v>673</v>
      </c>
      <c r="L56" s="22"/>
      <c r="M56" s="10"/>
      <c r="N56" s="10"/>
      <c r="O56" s="10"/>
      <c r="P56" s="10"/>
      <c r="Q56" s="10"/>
      <c r="R56" s="24" t="n">
        <f aca="false">I56-IF(ISNUMBER(M56),J56-M56*Figures!$C$4,0)+N(N56)*Figures!$C$4+N(O56)+N(P56)</f>
        <v>150</v>
      </c>
    </row>
    <row r="57" customFormat="false" ht="15" hidden="false" customHeight="false" outlineLevel="0" collapsed="false">
      <c r="A57" s="7" t="s">
        <v>674</v>
      </c>
      <c r="B57" s="7" t="s">
        <v>675</v>
      </c>
      <c r="C57" s="7" t="s">
        <v>458</v>
      </c>
      <c r="D57" s="7" t="s">
        <v>214</v>
      </c>
      <c r="E57" s="7" t="s">
        <v>676</v>
      </c>
      <c r="F57" s="7" t="s">
        <v>677</v>
      </c>
      <c r="G57" s="7" t="s">
        <v>521</v>
      </c>
      <c r="H57" s="7" t="n">
        <v>1</v>
      </c>
      <c r="I57" s="24" t="n">
        <v>100</v>
      </c>
      <c r="J57" s="24" t="n">
        <v>0</v>
      </c>
      <c r="K57" s="7"/>
      <c r="L57" s="22"/>
      <c r="M57" s="10"/>
      <c r="N57" s="10"/>
      <c r="O57" s="10"/>
      <c r="P57" s="10"/>
      <c r="Q57" s="10"/>
      <c r="R57" s="24" t="n">
        <f aca="false">I57-IF(ISNUMBER(M57),J57-M57*Figures!$C$4,0)+N(N57)*Figures!$C$4+N(O57)+N(P57)</f>
        <v>100</v>
      </c>
    </row>
    <row r="58" customFormat="false" ht="15" hidden="false" customHeight="false" outlineLevel="0" collapsed="false">
      <c r="A58" s="7" t="s">
        <v>678</v>
      </c>
      <c r="B58" s="7" t="s">
        <v>675</v>
      </c>
      <c r="C58" s="7" t="s">
        <v>471</v>
      </c>
      <c r="D58" s="7" t="s">
        <v>156</v>
      </c>
      <c r="E58" s="7" t="s">
        <v>679</v>
      </c>
      <c r="F58" s="7" t="s">
        <v>661</v>
      </c>
      <c r="G58" s="7" t="s">
        <v>462</v>
      </c>
      <c r="H58" s="7" t="n">
        <v>1</v>
      </c>
      <c r="I58" s="24" t="n">
        <v>150</v>
      </c>
      <c r="J58" s="24" t="n">
        <v>50</v>
      </c>
      <c r="K58" s="7"/>
      <c r="L58" s="22"/>
      <c r="M58" s="10"/>
      <c r="N58" s="10"/>
      <c r="O58" s="10"/>
      <c r="P58" s="10"/>
      <c r="Q58" s="10"/>
      <c r="R58" s="24" t="n">
        <f aca="false">I58-IF(ISNUMBER(M58),J58-M58*Figures!$C$4,0)+N(N58)*Figures!$C$4+N(O58)+N(P58)</f>
        <v>150</v>
      </c>
    </row>
    <row r="59" customFormat="false" ht="15" hidden="false" customHeight="false" outlineLevel="0" collapsed="false">
      <c r="A59" s="7" t="s">
        <v>680</v>
      </c>
      <c r="B59" s="7" t="s">
        <v>675</v>
      </c>
      <c r="C59" s="7" t="s">
        <v>471</v>
      </c>
      <c r="D59" s="7" t="s">
        <v>156</v>
      </c>
      <c r="E59" s="7" t="s">
        <v>679</v>
      </c>
      <c r="F59" s="7" t="s">
        <v>672</v>
      </c>
      <c r="G59" s="7" t="s">
        <v>462</v>
      </c>
      <c r="H59" s="7" t="n">
        <v>1</v>
      </c>
      <c r="I59" s="24" t="n">
        <v>150</v>
      </c>
      <c r="J59" s="24" t="n">
        <v>50</v>
      </c>
      <c r="K59" s="7"/>
      <c r="L59" s="22"/>
      <c r="M59" s="10"/>
      <c r="N59" s="10"/>
      <c r="O59" s="10"/>
      <c r="P59" s="10"/>
      <c r="Q59" s="10"/>
      <c r="R59" s="24" t="n">
        <f aca="false">I59-IF(ISNUMBER(M59),J59-M59*Figures!$C$4,0)+N(N59)*Figures!$C$4+N(O59)+N(P59)</f>
        <v>150</v>
      </c>
    </row>
    <row r="60" customFormat="false" ht="15" hidden="false" customHeight="false" outlineLevel="0" collapsed="false">
      <c r="A60" s="7" t="s">
        <v>681</v>
      </c>
      <c r="B60" s="7" t="s">
        <v>682</v>
      </c>
      <c r="C60" s="7" t="s">
        <v>458</v>
      </c>
      <c r="D60" s="7" t="s">
        <v>214</v>
      </c>
      <c r="E60" s="7" t="s">
        <v>683</v>
      </c>
      <c r="F60" s="7" t="s">
        <v>677</v>
      </c>
      <c r="G60" s="7" t="s">
        <v>521</v>
      </c>
      <c r="H60" s="7" t="n">
        <v>1</v>
      </c>
      <c r="I60" s="24" t="n">
        <v>100</v>
      </c>
      <c r="J60" s="24" t="n">
        <v>0</v>
      </c>
      <c r="K60" s="7"/>
      <c r="L60" s="22"/>
      <c r="M60" s="10"/>
      <c r="N60" s="10"/>
      <c r="O60" s="10"/>
      <c r="P60" s="10"/>
      <c r="Q60" s="10"/>
      <c r="R60" s="24" t="n">
        <f aca="false">I60-IF(ISNUMBER(M60),J60-M60*Figures!$C$4,0)+N(N60)*Figures!$C$4+N(O60)+N(P60)</f>
        <v>100</v>
      </c>
    </row>
    <row r="61" customFormat="false" ht="15" hidden="false" customHeight="false" outlineLevel="0" collapsed="false">
      <c r="A61" s="7" t="s">
        <v>684</v>
      </c>
      <c r="B61" s="7" t="s">
        <v>685</v>
      </c>
      <c r="C61" s="7" t="s">
        <v>471</v>
      </c>
      <c r="D61" s="7" t="s">
        <v>156</v>
      </c>
      <c r="E61" s="7" t="s">
        <v>651</v>
      </c>
      <c r="F61" s="7" t="s">
        <v>686</v>
      </c>
      <c r="G61" s="7" t="s">
        <v>555</v>
      </c>
      <c r="H61" s="7" t="n">
        <v>1</v>
      </c>
      <c r="I61" s="24" t="n">
        <v>100</v>
      </c>
      <c r="J61" s="24" t="n">
        <v>0</v>
      </c>
      <c r="K61" s="7" t="s">
        <v>687</v>
      </c>
      <c r="L61" s="22"/>
      <c r="M61" s="10"/>
      <c r="N61" s="10"/>
      <c r="O61" s="10"/>
      <c r="P61" s="10"/>
      <c r="Q61" s="10"/>
      <c r="R61" s="24" t="n">
        <f aca="false">I61-IF(ISNUMBER(M61),J61-M61*Figures!$C$4,0)+N(N61)*Figures!$C$4+N(O61)+N(P61)</f>
        <v>100</v>
      </c>
    </row>
    <row r="62" customFormat="false" ht="15" hidden="false" customHeight="false" outlineLevel="0" collapsed="false">
      <c r="A62" s="7" t="s">
        <v>688</v>
      </c>
      <c r="B62" s="7" t="s">
        <v>689</v>
      </c>
      <c r="C62" s="7" t="s">
        <v>471</v>
      </c>
      <c r="D62" s="7" t="s">
        <v>214</v>
      </c>
      <c r="E62" s="7" t="s">
        <v>690</v>
      </c>
      <c r="F62" s="7" t="s">
        <v>691</v>
      </c>
      <c r="G62" s="7" t="s">
        <v>692</v>
      </c>
      <c r="H62" s="7" t="n">
        <v>1</v>
      </c>
      <c r="I62" s="24" t="n">
        <v>25</v>
      </c>
      <c r="J62" s="24" t="n">
        <v>0</v>
      </c>
      <c r="K62" s="7"/>
      <c r="L62" s="22"/>
      <c r="M62" s="10"/>
      <c r="N62" s="10"/>
      <c r="O62" s="10"/>
      <c r="P62" s="10"/>
      <c r="Q62" s="10"/>
      <c r="R62" s="24" t="n">
        <f aca="false">I62-IF(ISNUMBER(M62),J62-M62*Figures!$C$4,0)+N(N62)*Figures!$C$4+N(O62)+N(P62)</f>
        <v>25</v>
      </c>
    </row>
    <row r="63" customFormat="false" ht="15" hidden="false" customHeight="false" outlineLevel="0" collapsed="false">
      <c r="A63" s="7" t="s">
        <v>693</v>
      </c>
      <c r="B63" s="7" t="s">
        <v>689</v>
      </c>
      <c r="C63" s="7" t="s">
        <v>471</v>
      </c>
      <c r="D63" s="7" t="s">
        <v>214</v>
      </c>
      <c r="E63" s="7" t="s">
        <v>690</v>
      </c>
      <c r="F63" s="7" t="s">
        <v>694</v>
      </c>
      <c r="G63" s="7" t="s">
        <v>692</v>
      </c>
      <c r="H63" s="7" t="n">
        <v>1</v>
      </c>
      <c r="I63" s="24" t="n">
        <v>25</v>
      </c>
      <c r="J63" s="24" t="n">
        <v>0</v>
      </c>
      <c r="K63" s="7"/>
      <c r="L63" s="22"/>
      <c r="M63" s="10"/>
      <c r="N63" s="10"/>
      <c r="O63" s="10"/>
      <c r="P63" s="10"/>
      <c r="Q63" s="10"/>
      <c r="R63" s="24" t="n">
        <f aca="false">I63-IF(ISNUMBER(M63),J63-M63*Figures!$C$4,0)+N(N63)*Figures!$C$4+N(O63)+N(P63)</f>
        <v>25</v>
      </c>
    </row>
    <row r="64" customFormat="false" ht="15" hidden="false" customHeight="false" outlineLevel="0" collapsed="false">
      <c r="A64" s="7" t="s">
        <v>695</v>
      </c>
      <c r="B64" s="7" t="s">
        <v>696</v>
      </c>
      <c r="C64" s="7" t="s">
        <v>458</v>
      </c>
      <c r="D64" s="7" t="s">
        <v>214</v>
      </c>
      <c r="E64" s="7" t="s">
        <v>697</v>
      </c>
      <c r="F64" s="7" t="s">
        <v>698</v>
      </c>
      <c r="G64" s="7" t="s">
        <v>462</v>
      </c>
      <c r="H64" s="7" t="n">
        <v>1</v>
      </c>
      <c r="I64" s="24" t="n">
        <v>166.67</v>
      </c>
      <c r="J64" s="24" t="n">
        <v>66.67</v>
      </c>
      <c r="K64" s="7" t="s">
        <v>699</v>
      </c>
      <c r="L64" s="22" t="n">
        <v>0</v>
      </c>
      <c r="M64" s="10"/>
      <c r="N64" s="10"/>
      <c r="O64" s="10"/>
      <c r="P64" s="10"/>
      <c r="Q64" s="10"/>
      <c r="R64" s="24" t="n">
        <f aca="false">I64-IF(ISNUMBER(M64),J64-M64*Figures!$C$4,0)+N(N64)*Figures!$C$4+N(O64)+N(P64)</f>
        <v>166.67</v>
      </c>
    </row>
    <row r="65" customFormat="false" ht="23.85" hidden="false" customHeight="false" outlineLevel="0" collapsed="false">
      <c r="A65" s="7" t="s">
        <v>700</v>
      </c>
      <c r="B65" s="7" t="s">
        <v>696</v>
      </c>
      <c r="C65" s="7" t="s">
        <v>458</v>
      </c>
      <c r="D65" s="7" t="s">
        <v>214</v>
      </c>
      <c r="E65" s="7" t="s">
        <v>697</v>
      </c>
      <c r="F65" s="7" t="s">
        <v>701</v>
      </c>
      <c r="G65" s="7" t="s">
        <v>462</v>
      </c>
      <c r="H65" s="7" t="n">
        <v>1</v>
      </c>
      <c r="I65" s="24" t="n">
        <v>166.67</v>
      </c>
      <c r="J65" s="24" t="n">
        <v>66.67</v>
      </c>
      <c r="K65" s="7" t="s">
        <v>702</v>
      </c>
      <c r="L65" s="22" t="n">
        <v>0</v>
      </c>
      <c r="M65" s="10"/>
      <c r="N65" s="10"/>
      <c r="O65" s="10"/>
      <c r="P65" s="10"/>
      <c r="Q65" s="10"/>
      <c r="R65" s="24" t="n">
        <f aca="false">I65-IF(ISNUMBER(M65),J65-M65*Figures!$C$4,0)+N(N65)*Figures!$C$4+N(O65)+N(P65)</f>
        <v>166.67</v>
      </c>
    </row>
    <row r="66" customFormat="false" ht="15" hidden="false" customHeight="false" outlineLevel="0" collapsed="false">
      <c r="A66" s="7" t="s">
        <v>703</v>
      </c>
      <c r="B66" s="7" t="s">
        <v>704</v>
      </c>
      <c r="C66" s="7" t="s">
        <v>471</v>
      </c>
      <c r="D66" s="7" t="s">
        <v>214</v>
      </c>
      <c r="E66" s="7" t="s">
        <v>353</v>
      </c>
      <c r="F66" s="7" t="s">
        <v>705</v>
      </c>
      <c r="G66" s="7" t="s">
        <v>593</v>
      </c>
      <c r="H66" s="7" t="n">
        <v>1</v>
      </c>
      <c r="I66" s="24" t="n">
        <v>159.18</v>
      </c>
      <c r="J66" s="24" t="n">
        <v>58.33</v>
      </c>
      <c r="K66" s="7"/>
      <c r="L66" s="22"/>
      <c r="M66" s="10"/>
      <c r="N66" s="10"/>
      <c r="O66" s="10"/>
      <c r="P66" s="10"/>
      <c r="Q66" s="10"/>
      <c r="R66" s="24" t="n">
        <f aca="false">I66-IF(ISNUMBER(M66),J66-M66*Figures!$C$4,0)+N(N66)*Figures!$C$4+N(O66)+N(P66)</f>
        <v>159.18</v>
      </c>
    </row>
    <row r="67" customFormat="false" ht="15" hidden="false" customHeight="false" outlineLevel="0" collapsed="false">
      <c r="A67" s="7" t="s">
        <v>706</v>
      </c>
      <c r="B67" s="7" t="s">
        <v>707</v>
      </c>
      <c r="C67" s="7" t="s">
        <v>471</v>
      </c>
      <c r="D67" s="7" t="s">
        <v>156</v>
      </c>
      <c r="E67" s="7" t="s">
        <v>708</v>
      </c>
      <c r="F67" s="7" t="s">
        <v>709</v>
      </c>
      <c r="G67" s="7" t="s">
        <v>462</v>
      </c>
      <c r="H67" s="7" t="n">
        <v>1</v>
      </c>
      <c r="I67" s="24" t="n">
        <v>166.67</v>
      </c>
      <c r="J67" s="24" t="n">
        <v>66.67</v>
      </c>
      <c r="K67" s="7" t="s">
        <v>710</v>
      </c>
      <c r="L67" s="22" t="n">
        <v>0.5</v>
      </c>
      <c r="M67" s="10"/>
      <c r="N67" s="10"/>
      <c r="O67" s="10"/>
      <c r="P67" s="10"/>
      <c r="Q67" s="10"/>
      <c r="R67" s="24" t="n">
        <f aca="false">I67-IF(ISNUMBER(M67),J67-M67*Figures!$C$4,0)+N(N67)*Figures!$C$4+N(O67)+N(P67)</f>
        <v>166.67</v>
      </c>
    </row>
    <row r="68" customFormat="false" ht="15" hidden="false" customHeight="false" outlineLevel="0" collapsed="false">
      <c r="A68" s="7" t="s">
        <v>711</v>
      </c>
      <c r="B68" s="7" t="s">
        <v>712</v>
      </c>
      <c r="C68" s="7" t="s">
        <v>471</v>
      </c>
      <c r="D68" s="7" t="s">
        <v>156</v>
      </c>
      <c r="E68" s="7" t="s">
        <v>713</v>
      </c>
      <c r="F68" s="7" t="s">
        <v>714</v>
      </c>
      <c r="G68" s="7" t="s">
        <v>462</v>
      </c>
      <c r="H68" s="7" t="n">
        <v>1</v>
      </c>
      <c r="I68" s="24" t="n">
        <v>150</v>
      </c>
      <c r="J68" s="24" t="n">
        <v>50</v>
      </c>
      <c r="K68" s="7" t="s">
        <v>715</v>
      </c>
      <c r="L68" s="22" t="n">
        <v>0.75</v>
      </c>
      <c r="M68" s="10"/>
      <c r="N68" s="10"/>
      <c r="O68" s="10"/>
      <c r="P68" s="10"/>
      <c r="Q68" s="10"/>
      <c r="R68" s="24" t="n">
        <f aca="false">I68-IF(ISNUMBER(M68),J68-M68*Figures!$C$4,0)+N(N68)*Figures!$C$4+N(O68)+N(P68)</f>
        <v>150</v>
      </c>
    </row>
    <row r="69" customFormat="false" ht="15" hidden="false" customHeight="false" outlineLevel="0" collapsed="false">
      <c r="A69" s="7" t="s">
        <v>716</v>
      </c>
      <c r="B69" s="7" t="s">
        <v>717</v>
      </c>
      <c r="C69" s="7" t="s">
        <v>458</v>
      </c>
      <c r="D69" s="7" t="s">
        <v>214</v>
      </c>
      <c r="E69" s="7" t="s">
        <v>718</v>
      </c>
      <c r="F69" s="7" t="s">
        <v>719</v>
      </c>
      <c r="G69" s="7" t="s">
        <v>462</v>
      </c>
      <c r="H69" s="7" t="n">
        <v>1</v>
      </c>
      <c r="I69" s="24" t="n">
        <v>166.67</v>
      </c>
      <c r="J69" s="24" t="n">
        <v>66.67</v>
      </c>
      <c r="K69" s="7" t="s">
        <v>720</v>
      </c>
      <c r="L69" s="22" t="n">
        <v>0</v>
      </c>
      <c r="M69" s="10"/>
      <c r="N69" s="10"/>
      <c r="O69" s="10"/>
      <c r="P69" s="10"/>
      <c r="Q69" s="10"/>
      <c r="R69" s="24" t="n">
        <f aca="false">I69-IF(ISNUMBER(M69),J69-M69*Figures!$C$4,0)+N(N69)*Figures!$C$4+N(O69)+N(P69)</f>
        <v>166.67</v>
      </c>
    </row>
    <row r="70" customFormat="false" ht="23.85" hidden="false" customHeight="false" outlineLevel="0" collapsed="false">
      <c r="A70" s="7" t="s">
        <v>721</v>
      </c>
      <c r="B70" s="7" t="s">
        <v>722</v>
      </c>
      <c r="C70" s="7" t="s">
        <v>458</v>
      </c>
      <c r="D70" s="7" t="s">
        <v>459</v>
      </c>
      <c r="E70" s="7" t="s">
        <v>723</v>
      </c>
      <c r="F70" s="7" t="s">
        <v>724</v>
      </c>
      <c r="G70" s="7" t="s">
        <v>725</v>
      </c>
      <c r="H70" s="7" t="n">
        <v>0</v>
      </c>
      <c r="I70" s="24" t="n">
        <v>25</v>
      </c>
      <c r="J70" s="24" t="n">
        <v>0</v>
      </c>
      <c r="K70" s="7"/>
      <c r="L70" s="22"/>
      <c r="M70" s="10"/>
      <c r="N70" s="10"/>
      <c r="O70" s="10"/>
      <c r="P70" s="10"/>
      <c r="Q70" s="10"/>
      <c r="R70" s="24" t="n">
        <f aca="false">I70-IF(ISNUMBER(M70),J70-M70*Figures!$C$4,0)+N(N70)*Figures!$C$4+N(O70)+N(P70)</f>
        <v>25</v>
      </c>
    </row>
    <row r="71" customFormat="false" ht="15" hidden="false" customHeight="false" outlineLevel="0" collapsed="false">
      <c r="A71" s="7" t="s">
        <v>726</v>
      </c>
      <c r="B71" s="7" t="s">
        <v>727</v>
      </c>
      <c r="C71" s="7" t="s">
        <v>458</v>
      </c>
      <c r="D71" s="7" t="s">
        <v>214</v>
      </c>
      <c r="E71" s="7" t="s">
        <v>285</v>
      </c>
      <c r="F71" s="7" t="s">
        <v>728</v>
      </c>
      <c r="G71" s="7" t="s">
        <v>462</v>
      </c>
      <c r="H71" s="7" t="n">
        <v>1</v>
      </c>
      <c r="I71" s="24" t="n">
        <v>166.85</v>
      </c>
      <c r="J71" s="24" t="n">
        <v>66.67</v>
      </c>
      <c r="K71" s="7" t="s">
        <v>729</v>
      </c>
      <c r="L71" s="22" t="n">
        <v>0</v>
      </c>
      <c r="M71" s="10"/>
      <c r="N71" s="10"/>
      <c r="O71" s="10"/>
      <c r="P71" s="10"/>
      <c r="Q71" s="10"/>
      <c r="R71" s="24" t="n">
        <f aca="false">I71-IF(ISNUMBER(M71),J71-M71*Figures!$C$4,0)+N(N71)*Figures!$C$4+N(O71)+N(P71)</f>
        <v>166.85</v>
      </c>
    </row>
    <row r="72" customFormat="false" ht="15" hidden="false" customHeight="false" outlineLevel="0" collapsed="false">
      <c r="A72" s="7" t="s">
        <v>730</v>
      </c>
      <c r="B72" s="7" t="s">
        <v>727</v>
      </c>
      <c r="C72" s="7" t="s">
        <v>458</v>
      </c>
      <c r="D72" s="7" t="s">
        <v>214</v>
      </c>
      <c r="E72" s="7" t="s">
        <v>697</v>
      </c>
      <c r="F72" s="7" t="s">
        <v>728</v>
      </c>
      <c r="G72" s="7" t="s">
        <v>462</v>
      </c>
      <c r="H72" s="7" t="n">
        <v>1</v>
      </c>
      <c r="I72" s="24" t="n">
        <v>166.85</v>
      </c>
      <c r="J72" s="24" t="n">
        <v>66.67</v>
      </c>
      <c r="K72" s="7" t="s">
        <v>731</v>
      </c>
      <c r="L72" s="22" t="n">
        <v>0</v>
      </c>
      <c r="M72" s="10"/>
      <c r="N72" s="10"/>
      <c r="O72" s="10"/>
      <c r="P72" s="10"/>
      <c r="Q72" s="10"/>
      <c r="R72" s="24" t="n">
        <f aca="false">I72-IF(ISNUMBER(M72),J72-M72*Figures!$C$4,0)+N(N72)*Figures!$C$4+N(O72)+N(P72)</f>
        <v>166.85</v>
      </c>
    </row>
    <row r="73" customFormat="false" ht="15" hidden="false" customHeight="false" outlineLevel="0" collapsed="false">
      <c r="A73" s="7" t="s">
        <v>732</v>
      </c>
      <c r="B73" s="7" t="s">
        <v>733</v>
      </c>
      <c r="C73" s="7" t="s">
        <v>458</v>
      </c>
      <c r="D73" s="7" t="s">
        <v>214</v>
      </c>
      <c r="E73" s="7" t="s">
        <v>718</v>
      </c>
      <c r="F73" s="7" t="s">
        <v>734</v>
      </c>
      <c r="G73" s="7" t="s">
        <v>462</v>
      </c>
      <c r="H73" s="7" t="n">
        <v>1</v>
      </c>
      <c r="I73" s="24" t="n">
        <v>166.85</v>
      </c>
      <c r="J73" s="24" t="n">
        <v>66.67</v>
      </c>
      <c r="K73" s="7" t="s">
        <v>735</v>
      </c>
      <c r="L73" s="22" t="n">
        <v>0</v>
      </c>
      <c r="M73" s="10"/>
      <c r="N73" s="10"/>
      <c r="O73" s="10"/>
      <c r="P73" s="10"/>
      <c r="Q73" s="10"/>
      <c r="R73" s="24" t="n">
        <f aca="false">I73-IF(ISNUMBER(M73),J73-M73*Figures!$C$4,0)+N(N73)*Figures!$C$4+N(O73)+N(P73)</f>
        <v>166.85</v>
      </c>
    </row>
    <row r="74" customFormat="false" ht="15" hidden="false" customHeight="false" outlineLevel="0" collapsed="false">
      <c r="A74" s="7" t="s">
        <v>736</v>
      </c>
      <c r="B74" s="7" t="s">
        <v>733</v>
      </c>
      <c r="C74" s="7" t="s">
        <v>458</v>
      </c>
      <c r="D74" s="7" t="s">
        <v>214</v>
      </c>
      <c r="E74" s="7" t="s">
        <v>737</v>
      </c>
      <c r="F74" s="7" t="s">
        <v>728</v>
      </c>
      <c r="G74" s="7" t="s">
        <v>462</v>
      </c>
      <c r="H74" s="7" t="n">
        <v>1</v>
      </c>
      <c r="I74" s="24" t="n">
        <v>166.85</v>
      </c>
      <c r="J74" s="24" t="n">
        <v>66.67</v>
      </c>
      <c r="K74" s="7" t="s">
        <v>738</v>
      </c>
      <c r="L74" s="22" t="n">
        <v>0</v>
      </c>
      <c r="M74" s="10"/>
      <c r="N74" s="10"/>
      <c r="O74" s="10"/>
      <c r="P74" s="10"/>
      <c r="Q74" s="10"/>
      <c r="R74" s="24" t="n">
        <f aca="false">I74-IF(ISNUMBER(M74),J74-M74*Figures!$C$4,0)+N(N74)*Figures!$C$4+N(O74)+N(P74)</f>
        <v>166.85</v>
      </c>
    </row>
    <row r="75" customFormat="false" ht="15" hidden="false" customHeight="false" outlineLevel="0" collapsed="false">
      <c r="A75" s="7" t="s">
        <v>739</v>
      </c>
      <c r="B75" s="7" t="s">
        <v>733</v>
      </c>
      <c r="C75" s="7" t="s">
        <v>458</v>
      </c>
      <c r="D75" s="7" t="s">
        <v>214</v>
      </c>
      <c r="E75" s="7" t="s">
        <v>740</v>
      </c>
      <c r="F75" s="7" t="s">
        <v>734</v>
      </c>
      <c r="G75" s="7" t="s">
        <v>462</v>
      </c>
      <c r="H75" s="7" t="n">
        <v>1</v>
      </c>
      <c r="I75" s="24" t="n">
        <v>166.85</v>
      </c>
      <c r="J75" s="24" t="n">
        <v>66.67</v>
      </c>
      <c r="K75" s="7" t="s">
        <v>741</v>
      </c>
      <c r="L75" s="22" t="n">
        <v>0</v>
      </c>
      <c r="M75" s="10"/>
      <c r="N75" s="10"/>
      <c r="O75" s="10"/>
      <c r="P75" s="10"/>
      <c r="Q75" s="10"/>
      <c r="R75" s="24" t="n">
        <f aca="false">I75-IF(ISNUMBER(M75),J75-M75*Figures!$C$4,0)+N(N75)*Figures!$C$4+N(O75)+N(P75)</f>
        <v>166.85</v>
      </c>
    </row>
    <row r="76" customFormat="false" ht="15" hidden="false" customHeight="false" outlineLevel="0" collapsed="false">
      <c r="A76" s="7" t="s">
        <v>742</v>
      </c>
      <c r="B76" s="7" t="s">
        <v>733</v>
      </c>
      <c r="C76" s="7" t="s">
        <v>458</v>
      </c>
      <c r="D76" s="7" t="s">
        <v>214</v>
      </c>
      <c r="E76" s="7" t="s">
        <v>743</v>
      </c>
      <c r="F76" s="7" t="s">
        <v>744</v>
      </c>
      <c r="G76" s="7" t="s">
        <v>462</v>
      </c>
      <c r="H76" s="7" t="n">
        <v>1</v>
      </c>
      <c r="I76" s="24" t="n">
        <v>166.67</v>
      </c>
      <c r="J76" s="24" t="n">
        <v>66.67</v>
      </c>
      <c r="K76" s="7" t="s">
        <v>745</v>
      </c>
      <c r="L76" s="22" t="n">
        <v>0</v>
      </c>
      <c r="M76" s="10"/>
      <c r="N76" s="10"/>
      <c r="O76" s="10"/>
      <c r="P76" s="10"/>
      <c r="Q76" s="10"/>
      <c r="R76" s="24" t="n">
        <f aca="false">I76-IF(ISNUMBER(M76),J76-M76*Figures!$C$4,0)+N(N76)*Figures!$C$4+N(O76)+N(P76)</f>
        <v>166.67</v>
      </c>
    </row>
    <row r="77" customFormat="false" ht="15" hidden="false" customHeight="false" outlineLevel="0" collapsed="false">
      <c r="A77" s="13" t="s">
        <v>746</v>
      </c>
      <c r="B77" s="14"/>
      <c r="C77" s="14"/>
      <c r="D77" s="14"/>
      <c r="E77" s="14"/>
      <c r="F77" s="14"/>
      <c r="G77" s="14"/>
      <c r="H77" s="14"/>
      <c r="I77" s="25" t="n">
        <f aca="false">SUM(I8:I76)</f>
        <v>10250</v>
      </c>
      <c r="J77" s="25" t="n">
        <f aca="false">SUM(J8:J76)</f>
        <v>3558.42</v>
      </c>
      <c r="K77" s="14"/>
      <c r="L77" s="14"/>
      <c r="M77" s="14"/>
      <c r="N77" s="14"/>
      <c r="O77" s="14"/>
      <c r="P77" s="14"/>
      <c r="Q77" s="14"/>
      <c r="R77" s="25" t="n">
        <f aca="false">SUM(R8:R76)</f>
        <v>10250</v>
      </c>
    </row>
  </sheetData>
  <autoFilter ref="A7:R76"/>
  <mergeCells count="2">
    <mergeCell ref="A4:L4"/>
    <mergeCell ref="A5:L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7"/>
    <col collapsed="false" customWidth="true" hidden="false" outlineLevel="0" max="4" min="4" style="0" width="9"/>
    <col collapsed="false" customWidth="true" hidden="false" outlineLevel="0" max="5" min="5" style="0" width="110"/>
    <col collapsed="false" customWidth="true" hidden="false" outlineLevel="0" max="6" min="6" style="0" width="30"/>
  </cols>
  <sheetData>
    <row r="1" customFormat="false" ht="17.35" hidden="false" customHeight="false" outlineLevel="0" collapsed="false">
      <c r="A1" s="1" t="s">
        <v>747</v>
      </c>
    </row>
    <row r="2" customFormat="false" ht="15" hidden="false" customHeight="false" outlineLevel="0" collapsed="false">
      <c r="A2" s="2" t="s">
        <v>748</v>
      </c>
    </row>
    <row r="4" customFormat="false" ht="45" hidden="false" customHeight="true" outlineLevel="0" collapsed="false">
      <c r="A4" s="5" t="s">
        <v>749</v>
      </c>
      <c r="B4" s="5"/>
      <c r="C4" s="5"/>
      <c r="D4" s="5"/>
      <c r="E4" s="5"/>
      <c r="F4" s="5"/>
    </row>
    <row r="6" customFormat="false" ht="30" hidden="false" customHeight="true" outlineLevel="0" collapsed="false">
      <c r="A6" s="6" t="s">
        <v>393</v>
      </c>
      <c r="B6" s="6" t="s">
        <v>750</v>
      </c>
      <c r="C6" s="6" t="s">
        <v>146</v>
      </c>
      <c r="D6" s="6" t="s">
        <v>148</v>
      </c>
      <c r="E6" s="6" t="s">
        <v>751</v>
      </c>
      <c r="F6" s="6" t="s">
        <v>154</v>
      </c>
    </row>
    <row r="7" customFormat="false" ht="23.85" hidden="false" customHeight="false" outlineLevel="0" collapsed="false">
      <c r="A7" s="7" t="s">
        <v>161</v>
      </c>
      <c r="B7" s="7" t="s">
        <v>717</v>
      </c>
      <c r="C7" s="7" t="s">
        <v>162</v>
      </c>
      <c r="D7" s="22" t="n">
        <v>3.42</v>
      </c>
      <c r="E7" s="7" t="s">
        <v>167</v>
      </c>
      <c r="F7" s="10"/>
    </row>
    <row r="8" customFormat="false" ht="23.85" hidden="false" customHeight="false" outlineLevel="0" collapsed="false">
      <c r="A8" s="7" t="s">
        <v>165</v>
      </c>
      <c r="B8" s="7" t="s">
        <v>717</v>
      </c>
      <c r="C8" s="7" t="s">
        <v>162</v>
      </c>
      <c r="D8" s="22" t="n">
        <v>3.42</v>
      </c>
      <c r="E8" s="7" t="s">
        <v>167</v>
      </c>
      <c r="F8" s="10"/>
    </row>
    <row r="9" customFormat="false" ht="23.85" hidden="false" customHeight="false" outlineLevel="0" collapsed="false">
      <c r="A9" s="7" t="s">
        <v>168</v>
      </c>
      <c r="B9" s="7" t="s">
        <v>717</v>
      </c>
      <c r="C9" s="7" t="s">
        <v>162</v>
      </c>
      <c r="D9" s="22" t="n">
        <v>3.42</v>
      </c>
      <c r="E9" s="7" t="s">
        <v>167</v>
      </c>
      <c r="F9" s="10"/>
    </row>
    <row r="10" customFormat="false" ht="23.85" hidden="false" customHeight="false" outlineLevel="0" collapsed="false">
      <c r="A10" s="7" t="s">
        <v>169</v>
      </c>
      <c r="B10" s="7" t="s">
        <v>717</v>
      </c>
      <c r="C10" s="7" t="s">
        <v>162</v>
      </c>
      <c r="D10" s="22" t="n">
        <v>3.42</v>
      </c>
      <c r="E10" s="7" t="s">
        <v>167</v>
      </c>
      <c r="F10" s="10"/>
    </row>
    <row r="11" customFormat="false" ht="23.85" hidden="false" customHeight="false" outlineLevel="0" collapsed="false">
      <c r="A11" s="7" t="s">
        <v>170</v>
      </c>
      <c r="B11" s="7" t="s">
        <v>717</v>
      </c>
      <c r="C11" s="7" t="s">
        <v>162</v>
      </c>
      <c r="D11" s="22" t="n">
        <v>3.42</v>
      </c>
      <c r="E11" s="7" t="s">
        <v>167</v>
      </c>
      <c r="F11" s="10"/>
    </row>
    <row r="12" customFormat="false" ht="23.85" hidden="false" customHeight="false" outlineLevel="0" collapsed="false">
      <c r="A12" s="7" t="s">
        <v>171</v>
      </c>
      <c r="B12" s="7" t="s">
        <v>717</v>
      </c>
      <c r="C12" s="7" t="s">
        <v>162</v>
      </c>
      <c r="D12" s="22" t="n">
        <v>3.42</v>
      </c>
      <c r="E12" s="7" t="s">
        <v>167</v>
      </c>
      <c r="F12" s="10"/>
    </row>
    <row r="13" customFormat="false" ht="23.85" hidden="false" customHeight="false" outlineLevel="0" collapsed="false">
      <c r="A13" s="7" t="s">
        <v>172</v>
      </c>
      <c r="B13" s="7" t="s">
        <v>717</v>
      </c>
      <c r="C13" s="7" t="s">
        <v>162</v>
      </c>
      <c r="D13" s="22" t="n">
        <v>3.42</v>
      </c>
      <c r="E13" s="7" t="s">
        <v>167</v>
      </c>
      <c r="F13" s="10"/>
    </row>
    <row r="14" customFormat="false" ht="23.85" hidden="false" customHeight="false" outlineLevel="0" collapsed="false">
      <c r="A14" s="7" t="s">
        <v>173</v>
      </c>
      <c r="B14" s="7" t="s">
        <v>717</v>
      </c>
      <c r="C14" s="7" t="s">
        <v>162</v>
      </c>
      <c r="D14" s="22" t="n">
        <v>3.42</v>
      </c>
      <c r="E14" s="7" t="s">
        <v>167</v>
      </c>
      <c r="F14" s="10"/>
    </row>
    <row r="15" customFormat="false" ht="23.85" hidden="false" customHeight="false" outlineLevel="0" collapsed="false">
      <c r="A15" s="7" t="s">
        <v>175</v>
      </c>
      <c r="B15" s="7" t="s">
        <v>717</v>
      </c>
      <c r="C15" s="7" t="s">
        <v>162</v>
      </c>
      <c r="D15" s="22" t="n">
        <v>3.42</v>
      </c>
      <c r="E15" s="7" t="s">
        <v>167</v>
      </c>
      <c r="F15" s="10"/>
    </row>
    <row r="16" customFormat="false" ht="15" hidden="false" customHeight="false" outlineLevel="0" collapsed="false">
      <c r="A16" s="7" t="s">
        <v>192</v>
      </c>
      <c r="B16" s="7" t="s">
        <v>752</v>
      </c>
      <c r="C16" s="7" t="s">
        <v>181</v>
      </c>
      <c r="D16" s="22" t="n">
        <v>1.16</v>
      </c>
      <c r="E16" s="7" t="s">
        <v>182</v>
      </c>
      <c r="F16" s="10"/>
    </row>
    <row r="17" customFormat="false" ht="15" hidden="false" customHeight="false" outlineLevel="0" collapsed="false">
      <c r="A17" s="7" t="s">
        <v>191</v>
      </c>
      <c r="B17" s="7" t="s">
        <v>752</v>
      </c>
      <c r="C17" s="7" t="s">
        <v>181</v>
      </c>
      <c r="D17" s="22" t="n">
        <v>1.16</v>
      </c>
      <c r="E17" s="7" t="s">
        <v>182</v>
      </c>
      <c r="F17" s="10"/>
    </row>
    <row r="18" customFormat="false" ht="15" hidden="false" customHeight="false" outlineLevel="0" collapsed="false">
      <c r="A18" s="7" t="s">
        <v>190</v>
      </c>
      <c r="B18" s="7" t="s">
        <v>752</v>
      </c>
      <c r="C18" s="7" t="s">
        <v>181</v>
      </c>
      <c r="D18" s="22" t="n">
        <v>1.16</v>
      </c>
      <c r="E18" s="7" t="s">
        <v>182</v>
      </c>
      <c r="F18" s="10"/>
    </row>
    <row r="19" customFormat="false" ht="15" hidden="false" customHeight="false" outlineLevel="0" collapsed="false">
      <c r="A19" s="7" t="s">
        <v>189</v>
      </c>
      <c r="B19" s="7" t="s">
        <v>752</v>
      </c>
      <c r="C19" s="7" t="s">
        <v>181</v>
      </c>
      <c r="D19" s="22" t="n">
        <v>1.16</v>
      </c>
      <c r="E19" s="7" t="s">
        <v>182</v>
      </c>
      <c r="F19" s="10"/>
    </row>
    <row r="20" customFormat="false" ht="15" hidden="false" customHeight="false" outlineLevel="0" collapsed="false">
      <c r="A20" s="7" t="s">
        <v>193</v>
      </c>
      <c r="B20" s="7" t="s">
        <v>752</v>
      </c>
      <c r="C20" s="7" t="s">
        <v>181</v>
      </c>
      <c r="D20" s="22" t="n">
        <v>1.16</v>
      </c>
      <c r="E20" s="7" t="s">
        <v>182</v>
      </c>
      <c r="F20" s="10"/>
    </row>
    <row r="21" customFormat="false" ht="15" hidden="false" customHeight="false" outlineLevel="0" collapsed="false">
      <c r="A21" s="7" t="s">
        <v>187</v>
      </c>
      <c r="B21" s="7" t="s">
        <v>752</v>
      </c>
      <c r="C21" s="7" t="s">
        <v>181</v>
      </c>
      <c r="D21" s="22" t="n">
        <v>1.16</v>
      </c>
      <c r="E21" s="7" t="s">
        <v>182</v>
      </c>
      <c r="F21" s="10"/>
    </row>
    <row r="22" customFormat="false" ht="15" hidden="false" customHeight="false" outlineLevel="0" collapsed="false">
      <c r="A22" s="7" t="s">
        <v>185</v>
      </c>
      <c r="B22" s="7" t="s">
        <v>752</v>
      </c>
      <c r="C22" s="7" t="s">
        <v>181</v>
      </c>
      <c r="D22" s="22" t="n">
        <v>1.16</v>
      </c>
      <c r="E22" s="7" t="s">
        <v>182</v>
      </c>
      <c r="F22" s="10"/>
    </row>
    <row r="23" customFormat="false" ht="15" hidden="false" customHeight="false" outlineLevel="0" collapsed="false">
      <c r="A23" s="7" t="s">
        <v>183</v>
      </c>
      <c r="B23" s="7" t="s">
        <v>752</v>
      </c>
      <c r="C23" s="7" t="s">
        <v>181</v>
      </c>
      <c r="D23" s="22" t="n">
        <v>1.16</v>
      </c>
      <c r="E23" s="7" t="s">
        <v>182</v>
      </c>
      <c r="F23" s="10"/>
    </row>
    <row r="24" customFormat="false" ht="15" hidden="false" customHeight="false" outlineLevel="0" collapsed="false">
      <c r="A24" s="7" t="s">
        <v>180</v>
      </c>
      <c r="B24" s="7" t="s">
        <v>752</v>
      </c>
      <c r="C24" s="7" t="s">
        <v>181</v>
      </c>
      <c r="D24" s="22" t="n">
        <v>1.16</v>
      </c>
      <c r="E24" s="7" t="s">
        <v>182</v>
      </c>
      <c r="F24" s="10"/>
    </row>
    <row r="25" customFormat="false" ht="15" hidden="false" customHeight="false" outlineLevel="0" collapsed="false">
      <c r="A25" s="7" t="s">
        <v>188</v>
      </c>
      <c r="B25" s="7" t="s">
        <v>752</v>
      </c>
      <c r="C25" s="7" t="s">
        <v>181</v>
      </c>
      <c r="D25" s="22" t="n">
        <v>1.16</v>
      </c>
      <c r="E25" s="7" t="s">
        <v>182</v>
      </c>
      <c r="F25" s="10"/>
    </row>
    <row r="26" customFormat="false" ht="15" hidden="false" customHeight="false" outlineLevel="0" collapsed="false">
      <c r="A26" s="7" t="s">
        <v>204</v>
      </c>
      <c r="B26" s="7" t="s">
        <v>753</v>
      </c>
      <c r="C26" s="7" t="s">
        <v>177</v>
      </c>
      <c r="D26" s="22" t="n">
        <v>1.16</v>
      </c>
      <c r="E26" s="7" t="s">
        <v>195</v>
      </c>
      <c r="F26" s="10"/>
    </row>
    <row r="27" customFormat="false" ht="15" hidden="false" customHeight="false" outlineLevel="0" collapsed="false">
      <c r="A27" s="7" t="s">
        <v>203</v>
      </c>
      <c r="B27" s="7" t="s">
        <v>753</v>
      </c>
      <c r="C27" s="7" t="s">
        <v>177</v>
      </c>
      <c r="D27" s="22" t="n">
        <v>1.16</v>
      </c>
      <c r="E27" s="7" t="s">
        <v>195</v>
      </c>
      <c r="F27" s="10"/>
    </row>
    <row r="28" customFormat="false" ht="15" hidden="false" customHeight="false" outlineLevel="0" collapsed="false">
      <c r="A28" s="7" t="s">
        <v>202</v>
      </c>
      <c r="B28" s="7" t="s">
        <v>753</v>
      </c>
      <c r="C28" s="7" t="s">
        <v>177</v>
      </c>
      <c r="D28" s="22" t="n">
        <v>1.16</v>
      </c>
      <c r="E28" s="7" t="s">
        <v>195</v>
      </c>
      <c r="F28" s="10"/>
    </row>
    <row r="29" customFormat="false" ht="15" hidden="false" customHeight="false" outlineLevel="0" collapsed="false">
      <c r="A29" s="7" t="s">
        <v>200</v>
      </c>
      <c r="B29" s="7" t="s">
        <v>753</v>
      </c>
      <c r="C29" s="7" t="s">
        <v>177</v>
      </c>
      <c r="D29" s="22" t="n">
        <v>1.16</v>
      </c>
      <c r="E29" s="7" t="s">
        <v>195</v>
      </c>
      <c r="F29" s="10"/>
    </row>
    <row r="30" customFormat="false" ht="15" hidden="false" customHeight="false" outlineLevel="0" collapsed="false">
      <c r="A30" s="7" t="s">
        <v>201</v>
      </c>
      <c r="B30" s="7" t="s">
        <v>753</v>
      </c>
      <c r="C30" s="7" t="s">
        <v>177</v>
      </c>
      <c r="D30" s="22" t="n">
        <v>1.16</v>
      </c>
      <c r="E30" s="7" t="s">
        <v>195</v>
      </c>
      <c r="F30" s="10"/>
    </row>
    <row r="31" customFormat="false" ht="15" hidden="false" customHeight="false" outlineLevel="0" collapsed="false">
      <c r="A31" s="7" t="s">
        <v>198</v>
      </c>
      <c r="B31" s="7" t="s">
        <v>753</v>
      </c>
      <c r="C31" s="7" t="s">
        <v>177</v>
      </c>
      <c r="D31" s="22" t="n">
        <v>1.16</v>
      </c>
      <c r="E31" s="7" t="s">
        <v>195</v>
      </c>
      <c r="F31" s="10"/>
    </row>
    <row r="32" customFormat="false" ht="15" hidden="false" customHeight="false" outlineLevel="0" collapsed="false">
      <c r="A32" s="7" t="s">
        <v>197</v>
      </c>
      <c r="B32" s="7" t="s">
        <v>753</v>
      </c>
      <c r="C32" s="7" t="s">
        <v>177</v>
      </c>
      <c r="D32" s="22" t="n">
        <v>1.16</v>
      </c>
      <c r="E32" s="7" t="s">
        <v>195</v>
      </c>
      <c r="F32" s="10"/>
    </row>
    <row r="33" customFormat="false" ht="15" hidden="false" customHeight="false" outlineLevel="0" collapsed="false">
      <c r="A33" s="7" t="s">
        <v>196</v>
      </c>
      <c r="B33" s="7" t="s">
        <v>753</v>
      </c>
      <c r="C33" s="7" t="s">
        <v>177</v>
      </c>
      <c r="D33" s="22" t="n">
        <v>1.16</v>
      </c>
      <c r="E33" s="7" t="s">
        <v>195</v>
      </c>
      <c r="F33" s="10"/>
    </row>
    <row r="34" customFormat="false" ht="15" hidden="false" customHeight="false" outlineLevel="0" collapsed="false">
      <c r="A34" s="7" t="s">
        <v>194</v>
      </c>
      <c r="B34" s="7" t="s">
        <v>753</v>
      </c>
      <c r="C34" s="7" t="s">
        <v>177</v>
      </c>
      <c r="D34" s="22" t="n">
        <v>1.16</v>
      </c>
      <c r="E34" s="7" t="s">
        <v>195</v>
      </c>
      <c r="F34" s="10"/>
    </row>
    <row r="35" customFormat="false" ht="15" hidden="false" customHeight="false" outlineLevel="0" collapsed="false">
      <c r="A35" s="7" t="s">
        <v>199</v>
      </c>
      <c r="B35" s="7" t="s">
        <v>753</v>
      </c>
      <c r="C35" s="7" t="s">
        <v>177</v>
      </c>
      <c r="D35" s="22" t="n">
        <v>1.16</v>
      </c>
      <c r="E35" s="7" t="s">
        <v>195</v>
      </c>
      <c r="F35" s="10"/>
    </row>
    <row r="36" customFormat="false" ht="15" hidden="false" customHeight="false" outlineLevel="0" collapsed="false">
      <c r="A36" s="7" t="s">
        <v>155</v>
      </c>
      <c r="B36" s="7" t="s">
        <v>754</v>
      </c>
      <c r="C36" s="7" t="s">
        <v>157</v>
      </c>
      <c r="D36" s="22" t="n">
        <v>13.26</v>
      </c>
      <c r="E36" s="7" t="s">
        <v>755</v>
      </c>
      <c r="F36" s="10"/>
    </row>
    <row r="37" customFormat="false" ht="15" hidden="false" customHeight="false" outlineLevel="0" collapsed="false">
      <c r="A37" s="7" t="s">
        <v>176</v>
      </c>
      <c r="B37" s="7" t="s">
        <v>756</v>
      </c>
      <c r="C37" s="7" t="s">
        <v>177</v>
      </c>
      <c r="D37" s="22" t="n">
        <v>2.26</v>
      </c>
      <c r="E37" s="7" t="s">
        <v>757</v>
      </c>
      <c r="F37" s="10"/>
    </row>
    <row r="38" customFormat="false" ht="15" hidden="false" customHeight="false" outlineLevel="0" collapsed="false">
      <c r="A38" s="7" t="s">
        <v>179</v>
      </c>
      <c r="B38" s="7" t="s">
        <v>756</v>
      </c>
      <c r="C38" s="7" t="s">
        <v>177</v>
      </c>
      <c r="D38" s="22" t="n">
        <v>2.26</v>
      </c>
      <c r="E38" s="7" t="s">
        <v>757</v>
      </c>
      <c r="F38" s="10"/>
    </row>
    <row r="39" customFormat="false" ht="15" hidden="false" customHeight="false" outlineLevel="0" collapsed="false">
      <c r="A39" s="7" t="s">
        <v>211</v>
      </c>
      <c r="B39" s="7" t="s">
        <v>758</v>
      </c>
      <c r="C39" s="7" t="s">
        <v>206</v>
      </c>
      <c r="D39" s="22" t="n">
        <v>1.16</v>
      </c>
      <c r="E39" s="7" t="s">
        <v>195</v>
      </c>
      <c r="F39" s="10"/>
    </row>
    <row r="40" customFormat="false" ht="15" hidden="false" customHeight="false" outlineLevel="0" collapsed="false">
      <c r="A40" s="7" t="s">
        <v>205</v>
      </c>
      <c r="B40" s="7" t="s">
        <v>758</v>
      </c>
      <c r="C40" s="7" t="s">
        <v>206</v>
      </c>
      <c r="D40" s="22" t="n">
        <v>1.16</v>
      </c>
      <c r="E40" s="7" t="s">
        <v>195</v>
      </c>
      <c r="F40" s="10"/>
    </row>
    <row r="41" customFormat="false" ht="15" hidden="false" customHeight="false" outlineLevel="0" collapsed="false">
      <c r="A41" s="7" t="s">
        <v>208</v>
      </c>
      <c r="B41" s="7" t="s">
        <v>758</v>
      </c>
      <c r="C41" s="7" t="s">
        <v>206</v>
      </c>
      <c r="D41" s="22" t="n">
        <v>1.16</v>
      </c>
      <c r="E41" s="7" t="s">
        <v>195</v>
      </c>
      <c r="F41" s="10"/>
    </row>
    <row r="42" customFormat="false" ht="15" hidden="false" customHeight="false" outlineLevel="0" collapsed="false">
      <c r="A42" s="7" t="s">
        <v>210</v>
      </c>
      <c r="B42" s="7" t="s">
        <v>758</v>
      </c>
      <c r="C42" s="7" t="s">
        <v>206</v>
      </c>
      <c r="D42" s="22" t="n">
        <v>1.16</v>
      </c>
      <c r="E42" s="7" t="s">
        <v>195</v>
      </c>
      <c r="F42" s="10"/>
    </row>
    <row r="43" customFormat="false" ht="15" hidden="false" customHeight="false" outlineLevel="0" collapsed="false">
      <c r="A43" s="7" t="s">
        <v>212</v>
      </c>
      <c r="B43" s="7" t="s">
        <v>758</v>
      </c>
      <c r="C43" s="7" t="s">
        <v>206</v>
      </c>
      <c r="D43" s="22" t="n">
        <v>1.16</v>
      </c>
      <c r="E43" s="7" t="s">
        <v>195</v>
      </c>
      <c r="F43" s="10"/>
    </row>
    <row r="44" customFormat="false" ht="15" hidden="false" customHeight="false" outlineLevel="0" collapsed="false">
      <c r="A44" s="13" t="s">
        <v>389</v>
      </c>
      <c r="B44" s="14"/>
      <c r="C44" s="14"/>
      <c r="D44" s="23" t="n">
        <f aca="false">SUM(D7:D43)</f>
        <v>77.56</v>
      </c>
      <c r="E44" s="14"/>
      <c r="F44" s="14"/>
    </row>
    <row r="46" customFormat="false" ht="15" hidden="false" customHeight="false" outlineLevel="0" collapsed="false">
      <c r="A46" s="15" t="s">
        <v>759</v>
      </c>
    </row>
    <row r="47" customFormat="false" ht="15" hidden="false" customHeight="false" outlineLevel="0" collapsed="false">
      <c r="A47" s="26" t="s">
        <v>760</v>
      </c>
      <c r="B47" s="26" t="s">
        <v>761</v>
      </c>
      <c r="C47" s="26" t="s">
        <v>762</v>
      </c>
      <c r="D47" s="26" t="s">
        <v>763</v>
      </c>
      <c r="E47" s="26" t="s">
        <v>764</v>
      </c>
      <c r="F47" s="26" t="s">
        <v>765</v>
      </c>
    </row>
    <row r="48" customFormat="false" ht="35.05" hidden="false" customHeight="false" outlineLevel="0" collapsed="false">
      <c r="A48" s="7" t="s">
        <v>766</v>
      </c>
      <c r="B48" s="7" t="s">
        <v>622</v>
      </c>
      <c r="C48" s="7" t="s">
        <v>767</v>
      </c>
      <c r="D48" s="7" t="n">
        <v>90</v>
      </c>
      <c r="E48" s="7" t="s">
        <v>768</v>
      </c>
      <c r="F48" s="7" t="s">
        <v>769</v>
      </c>
    </row>
    <row r="49" customFormat="false" ht="23.85" hidden="false" customHeight="false" outlineLevel="0" collapsed="false">
      <c r="A49" s="7" t="s">
        <v>770</v>
      </c>
      <c r="B49" s="7" t="s">
        <v>771</v>
      </c>
      <c r="C49" s="7" t="s">
        <v>772</v>
      </c>
      <c r="D49" s="7" t="n">
        <v>14</v>
      </c>
      <c r="E49" s="7" t="s">
        <v>773</v>
      </c>
      <c r="F49" s="7" t="s">
        <v>769</v>
      </c>
    </row>
    <row r="50" customFormat="false" ht="23.85" hidden="false" customHeight="false" outlineLevel="0" collapsed="false">
      <c r="A50" s="7" t="s">
        <v>774</v>
      </c>
      <c r="B50" s="7" t="s">
        <v>775</v>
      </c>
      <c r="C50" s="7" t="s">
        <v>772</v>
      </c>
      <c r="D50" s="7" t="n">
        <v>14</v>
      </c>
      <c r="E50" s="7" t="s">
        <v>776</v>
      </c>
      <c r="F50" s="7" t="s">
        <v>769</v>
      </c>
    </row>
    <row r="51" customFormat="false" ht="23.85" hidden="false" customHeight="false" outlineLevel="0" collapsed="false">
      <c r="A51" s="7" t="s">
        <v>777</v>
      </c>
      <c r="B51" s="7" t="s">
        <v>778</v>
      </c>
      <c r="C51" s="7" t="s">
        <v>772</v>
      </c>
      <c r="D51" s="7" t="n">
        <v>14</v>
      </c>
      <c r="E51" s="7" t="s">
        <v>779</v>
      </c>
      <c r="F51" s="7" t="s">
        <v>780</v>
      </c>
    </row>
    <row r="52" customFormat="false" ht="15" hidden="false" customHeight="false" outlineLevel="0" collapsed="false">
      <c r="A52" s="7" t="s">
        <v>781</v>
      </c>
      <c r="B52" s="7" t="s">
        <v>782</v>
      </c>
      <c r="C52" s="7" t="s">
        <v>772</v>
      </c>
      <c r="D52" s="7" t="n">
        <v>14</v>
      </c>
      <c r="E52" s="7" t="s">
        <v>783</v>
      </c>
      <c r="F52" s="7" t="s">
        <v>780</v>
      </c>
    </row>
    <row r="53" customFormat="false" ht="35.05" hidden="false" customHeight="false" outlineLevel="0" collapsed="false">
      <c r="A53" s="7" t="s">
        <v>784</v>
      </c>
      <c r="B53" s="7" t="s">
        <v>785</v>
      </c>
      <c r="C53" s="7" t="s">
        <v>786</v>
      </c>
      <c r="D53" s="7" t="n">
        <v>60</v>
      </c>
      <c r="E53" s="7" t="s">
        <v>787</v>
      </c>
      <c r="F53" s="7" t="s">
        <v>769</v>
      </c>
    </row>
    <row r="55" customFormat="false" ht="15" hidden="false" customHeight="false" outlineLevel="0" collapsed="false">
      <c r="A55" s="15" t="s">
        <v>788</v>
      </c>
    </row>
    <row r="56" customFormat="false" ht="15" hidden="false" customHeight="false" outlineLevel="0" collapsed="false">
      <c r="A56" s="26" t="s">
        <v>441</v>
      </c>
      <c r="B56" s="26" t="s">
        <v>442</v>
      </c>
      <c r="C56" s="26" t="s">
        <v>145</v>
      </c>
      <c r="D56" s="26" t="s">
        <v>789</v>
      </c>
      <c r="E56" s="26" t="s">
        <v>444</v>
      </c>
      <c r="F56" s="26" t="s">
        <v>790</v>
      </c>
    </row>
    <row r="57" customFormat="false" ht="102.2" hidden="false" customHeight="false" outlineLevel="0" collapsed="false">
      <c r="A57" s="7" t="s">
        <v>791</v>
      </c>
      <c r="B57" s="7" t="s">
        <v>792</v>
      </c>
      <c r="C57" s="7" t="s">
        <v>156</v>
      </c>
      <c r="D57" s="7" t="s">
        <v>793</v>
      </c>
      <c r="E57" s="7" t="s">
        <v>578</v>
      </c>
      <c r="F57" s="7" t="s">
        <v>794</v>
      </c>
    </row>
    <row r="58" customFormat="false" ht="102.2" hidden="false" customHeight="false" outlineLevel="0" collapsed="false">
      <c r="A58" s="7" t="s">
        <v>795</v>
      </c>
      <c r="B58" s="7" t="s">
        <v>796</v>
      </c>
      <c r="C58" s="7" t="s">
        <v>156</v>
      </c>
      <c r="D58" s="7" t="s">
        <v>793</v>
      </c>
      <c r="E58" s="7" t="s">
        <v>797</v>
      </c>
      <c r="F58" s="7" t="s">
        <v>798</v>
      </c>
    </row>
    <row r="59" customFormat="false" ht="91" hidden="false" customHeight="false" outlineLevel="0" collapsed="false">
      <c r="A59" s="7" t="s">
        <v>799</v>
      </c>
      <c r="B59" s="7" t="s">
        <v>800</v>
      </c>
      <c r="C59" s="7" t="s">
        <v>156</v>
      </c>
      <c r="D59" s="7" t="s">
        <v>793</v>
      </c>
      <c r="E59" s="7" t="s">
        <v>801</v>
      </c>
      <c r="F59" s="7" t="s">
        <v>802</v>
      </c>
    </row>
    <row r="60" customFormat="false" ht="91" hidden="false" customHeight="false" outlineLevel="0" collapsed="false">
      <c r="A60" s="7" t="s">
        <v>803</v>
      </c>
      <c r="B60" s="7" t="s">
        <v>800</v>
      </c>
      <c r="C60" s="7" t="s">
        <v>156</v>
      </c>
      <c r="D60" s="7" t="s">
        <v>793</v>
      </c>
      <c r="E60" s="7" t="s">
        <v>804</v>
      </c>
      <c r="F60" s="7" t="s">
        <v>805</v>
      </c>
    </row>
    <row r="61" customFormat="false" ht="91" hidden="false" customHeight="false" outlineLevel="0" collapsed="false">
      <c r="A61" s="7" t="s">
        <v>806</v>
      </c>
      <c r="B61" s="7" t="s">
        <v>569</v>
      </c>
      <c r="C61" s="7" t="s">
        <v>156</v>
      </c>
      <c r="D61" s="7" t="s">
        <v>793</v>
      </c>
      <c r="E61" s="7" t="s">
        <v>807</v>
      </c>
      <c r="F61" s="7" t="s">
        <v>808</v>
      </c>
    </row>
    <row r="62" customFormat="false" ht="91" hidden="false" customHeight="false" outlineLevel="0" collapsed="false">
      <c r="A62" s="7" t="s">
        <v>809</v>
      </c>
      <c r="B62" s="7" t="s">
        <v>810</v>
      </c>
      <c r="C62" s="7" t="s">
        <v>156</v>
      </c>
      <c r="D62" s="7" t="s">
        <v>793</v>
      </c>
      <c r="E62" s="7" t="s">
        <v>811</v>
      </c>
      <c r="F62" s="7" t="s">
        <v>812</v>
      </c>
    </row>
    <row r="63" customFormat="false" ht="102.2" hidden="false" customHeight="false" outlineLevel="0" collapsed="false">
      <c r="A63" s="7" t="s">
        <v>813</v>
      </c>
      <c r="B63" s="7" t="s">
        <v>814</v>
      </c>
      <c r="C63" s="7" t="s">
        <v>156</v>
      </c>
      <c r="D63" s="7" t="s">
        <v>793</v>
      </c>
      <c r="E63" s="7" t="s">
        <v>815</v>
      </c>
      <c r="F63" s="7" t="s">
        <v>816</v>
      </c>
    </row>
    <row r="64" customFormat="false" ht="91" hidden="false" customHeight="false" outlineLevel="0" collapsed="false">
      <c r="A64" s="7" t="s">
        <v>817</v>
      </c>
      <c r="B64" s="7" t="s">
        <v>601</v>
      </c>
      <c r="C64" s="7" t="s">
        <v>156</v>
      </c>
      <c r="D64" s="7" t="s">
        <v>818</v>
      </c>
      <c r="E64" s="7" t="s">
        <v>819</v>
      </c>
      <c r="F64" s="7" t="s">
        <v>820</v>
      </c>
    </row>
    <row r="65" customFormat="false" ht="91" hidden="false" customHeight="false" outlineLevel="0" collapsed="false">
      <c r="A65" s="7" t="s">
        <v>821</v>
      </c>
      <c r="B65" s="7" t="s">
        <v>822</v>
      </c>
      <c r="C65" s="7" t="s">
        <v>156</v>
      </c>
      <c r="D65" s="7" t="s">
        <v>793</v>
      </c>
      <c r="E65" s="7" t="s">
        <v>823</v>
      </c>
      <c r="F65" s="7" t="s">
        <v>824</v>
      </c>
    </row>
  </sheetData>
  <mergeCells count="1">
    <mergeCell ref="A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M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10"/>
    <col collapsed="false" customWidth="true" hidden="false" outlineLevel="0" max="5" min="4" style="0" width="13"/>
    <col collapsed="false" customWidth="true" hidden="false" outlineLevel="0" max="6" min="6" style="0" width="9"/>
    <col collapsed="false" customWidth="true" hidden="false" outlineLevel="0" max="7" min="7" style="0" width="26"/>
    <col collapsed="false" customWidth="true" hidden="false" outlineLevel="0" max="8" min="8" style="0" width="35"/>
    <col collapsed="false" customWidth="true" hidden="false" outlineLevel="0" max="9" min="9" style="0" width="20"/>
    <col collapsed="false" customWidth="true" hidden="false" outlineLevel="0" max="10" min="10" style="0" width="12"/>
    <col collapsed="false" customWidth="true" hidden="false" outlineLevel="0" max="11" min="11" style="0" width="11"/>
    <col collapsed="false" customWidth="true" hidden="false" outlineLevel="0" max="12" min="12" style="0" width="13"/>
    <col collapsed="false" customWidth="true" hidden="false" outlineLevel="0" max="13" min="13" style="0" width="25"/>
  </cols>
  <sheetData>
    <row r="1" customFormat="false" ht="17.35" hidden="false" customHeight="false" outlineLevel="0" collapsed="false">
      <c r="A1" s="1" t="s">
        <v>825</v>
      </c>
    </row>
    <row r="2" customFormat="false" ht="15" hidden="false" customHeight="false" outlineLevel="0" collapsed="false">
      <c r="A2" s="2" t="s">
        <v>826</v>
      </c>
    </row>
    <row r="4" customFormat="false" ht="30" hidden="false" customHeight="true" outlineLevel="0" collapsed="false">
      <c r="A4" s="5" t="s">
        <v>827</v>
      </c>
      <c r="B4" s="5"/>
      <c r="C4" s="5"/>
      <c r="D4" s="5"/>
      <c r="E4" s="5"/>
      <c r="F4" s="5"/>
      <c r="G4" s="5"/>
      <c r="H4" s="5"/>
      <c r="I4" s="5"/>
      <c r="J4" s="5"/>
      <c r="K4" s="5"/>
      <c r="L4" s="5"/>
      <c r="M4" s="5"/>
    </row>
    <row r="6" customFormat="false" ht="30" hidden="false" customHeight="true" outlineLevel="0" collapsed="false">
      <c r="A6" s="6" t="s">
        <v>441</v>
      </c>
      <c r="B6" s="6" t="s">
        <v>828</v>
      </c>
      <c r="C6" s="6" t="s">
        <v>442</v>
      </c>
      <c r="D6" s="6" t="s">
        <v>829</v>
      </c>
      <c r="E6" s="6" t="s">
        <v>830</v>
      </c>
      <c r="F6" s="6" t="s">
        <v>831</v>
      </c>
      <c r="G6" s="6" t="s">
        <v>832</v>
      </c>
      <c r="H6" s="6" t="s">
        <v>444</v>
      </c>
      <c r="I6" s="6" t="s">
        <v>833</v>
      </c>
      <c r="J6" s="6" t="s">
        <v>834</v>
      </c>
      <c r="K6" s="6" t="s">
        <v>835</v>
      </c>
      <c r="L6" s="6" t="s">
        <v>836</v>
      </c>
      <c r="M6" s="6" t="s">
        <v>154</v>
      </c>
    </row>
    <row r="7" customFormat="false" ht="23.85" hidden="false" customHeight="false" outlineLevel="0" collapsed="false">
      <c r="A7" s="7" t="s">
        <v>837</v>
      </c>
      <c r="B7" s="7" t="s">
        <v>838</v>
      </c>
      <c r="C7" s="7" t="s">
        <v>756</v>
      </c>
      <c r="D7" s="7" t="s">
        <v>839</v>
      </c>
      <c r="E7" s="7" t="s">
        <v>840</v>
      </c>
      <c r="F7" s="7" t="s">
        <v>841</v>
      </c>
      <c r="G7" s="7" t="s">
        <v>842</v>
      </c>
      <c r="H7" s="7" t="s">
        <v>843</v>
      </c>
      <c r="I7" s="7"/>
      <c r="J7" s="7" t="s">
        <v>844</v>
      </c>
      <c r="K7" s="10"/>
      <c r="L7" s="10"/>
      <c r="M7" s="10"/>
    </row>
    <row r="8" customFormat="false" ht="23.85" hidden="false" customHeight="false" outlineLevel="0" collapsed="false">
      <c r="A8" s="7" t="s">
        <v>845</v>
      </c>
      <c r="B8" s="7" t="s">
        <v>838</v>
      </c>
      <c r="C8" s="7" t="s">
        <v>756</v>
      </c>
      <c r="D8" s="7" t="s">
        <v>793</v>
      </c>
      <c r="E8" s="7" t="s">
        <v>846</v>
      </c>
      <c r="F8" s="7" t="s">
        <v>847</v>
      </c>
      <c r="G8" s="7" t="s">
        <v>848</v>
      </c>
      <c r="H8" s="7" t="s">
        <v>849</v>
      </c>
      <c r="I8" s="7"/>
      <c r="J8" s="7" t="s">
        <v>850</v>
      </c>
      <c r="K8" s="10"/>
      <c r="L8" s="10"/>
      <c r="M8" s="10"/>
    </row>
    <row r="9" customFormat="false" ht="23.85" hidden="false" customHeight="false" outlineLevel="0" collapsed="false">
      <c r="A9" s="7" t="s">
        <v>851</v>
      </c>
      <c r="B9" s="7" t="s">
        <v>838</v>
      </c>
      <c r="C9" s="7" t="s">
        <v>852</v>
      </c>
      <c r="D9" s="7" t="s">
        <v>839</v>
      </c>
      <c r="E9" s="7" t="s">
        <v>853</v>
      </c>
      <c r="F9" s="7" t="s">
        <v>854</v>
      </c>
      <c r="G9" s="7" t="s">
        <v>855</v>
      </c>
      <c r="H9" s="7" t="s">
        <v>856</v>
      </c>
      <c r="I9" s="7"/>
      <c r="J9" s="7" t="s">
        <v>857</v>
      </c>
      <c r="K9" s="10"/>
      <c r="L9" s="10"/>
      <c r="M9" s="10"/>
    </row>
    <row r="10" customFormat="false" ht="23.85" hidden="false" customHeight="false" outlineLevel="0" collapsed="false">
      <c r="A10" s="7" t="s">
        <v>858</v>
      </c>
      <c r="B10" s="7" t="s">
        <v>838</v>
      </c>
      <c r="C10" s="7" t="s">
        <v>752</v>
      </c>
      <c r="D10" s="7" t="s">
        <v>859</v>
      </c>
      <c r="E10" s="7" t="s">
        <v>860</v>
      </c>
      <c r="F10" s="7" t="s">
        <v>861</v>
      </c>
      <c r="G10" s="7" t="s">
        <v>842</v>
      </c>
      <c r="H10" s="7" t="s">
        <v>862</v>
      </c>
      <c r="I10" s="7"/>
      <c r="J10" s="7" t="s">
        <v>863</v>
      </c>
      <c r="K10" s="10"/>
      <c r="L10" s="10"/>
      <c r="M10" s="10"/>
    </row>
    <row r="11" customFormat="false" ht="23.85" hidden="false" customHeight="false" outlineLevel="0" collapsed="false">
      <c r="A11" s="7" t="s">
        <v>864</v>
      </c>
      <c r="B11" s="7" t="s">
        <v>838</v>
      </c>
      <c r="C11" s="7" t="s">
        <v>712</v>
      </c>
      <c r="D11" s="7" t="s">
        <v>865</v>
      </c>
      <c r="E11" s="7" t="s">
        <v>840</v>
      </c>
      <c r="F11" s="7" t="s">
        <v>866</v>
      </c>
      <c r="G11" s="7" t="s">
        <v>867</v>
      </c>
      <c r="H11" s="7" t="s">
        <v>868</v>
      </c>
      <c r="I11" s="7"/>
      <c r="J11" s="7" t="s">
        <v>869</v>
      </c>
      <c r="K11" s="10"/>
      <c r="L11" s="10"/>
      <c r="M11" s="10"/>
    </row>
    <row r="12" customFormat="false" ht="23.85" hidden="false" customHeight="false" outlineLevel="0" collapsed="false">
      <c r="A12" s="7" t="s">
        <v>870</v>
      </c>
      <c r="B12" s="7" t="s">
        <v>838</v>
      </c>
      <c r="C12" s="7" t="s">
        <v>778</v>
      </c>
      <c r="D12" s="7" t="s">
        <v>865</v>
      </c>
      <c r="E12" s="7" t="s">
        <v>871</v>
      </c>
      <c r="F12" s="7" t="s">
        <v>872</v>
      </c>
      <c r="G12" s="7" t="s">
        <v>867</v>
      </c>
      <c r="H12" s="7" t="s">
        <v>873</v>
      </c>
      <c r="I12" s="7"/>
      <c r="J12" s="7" t="s">
        <v>874</v>
      </c>
      <c r="K12" s="10"/>
      <c r="L12" s="10"/>
      <c r="M12" s="10"/>
    </row>
    <row r="13" customFormat="false" ht="23.85" hidden="false" customHeight="false" outlineLevel="0" collapsed="false">
      <c r="A13" s="7" t="s">
        <v>875</v>
      </c>
      <c r="B13" s="7" t="s">
        <v>838</v>
      </c>
      <c r="C13" s="7" t="s">
        <v>689</v>
      </c>
      <c r="D13" s="7" t="s">
        <v>793</v>
      </c>
      <c r="E13" s="7" t="s">
        <v>876</v>
      </c>
      <c r="F13" s="7" t="s">
        <v>877</v>
      </c>
      <c r="G13" s="7" t="s">
        <v>848</v>
      </c>
      <c r="H13" s="7" t="s">
        <v>878</v>
      </c>
      <c r="I13" s="7"/>
      <c r="J13" s="7" t="s">
        <v>879</v>
      </c>
      <c r="K13" s="10"/>
      <c r="L13" s="10"/>
      <c r="M13" s="10"/>
    </row>
    <row r="14" customFormat="false" ht="23.85" hidden="false" customHeight="false" outlineLevel="0" collapsed="false">
      <c r="A14" s="7" t="s">
        <v>880</v>
      </c>
      <c r="B14" s="7" t="s">
        <v>838</v>
      </c>
      <c r="C14" s="7" t="s">
        <v>881</v>
      </c>
      <c r="D14" s="7" t="s">
        <v>839</v>
      </c>
      <c r="E14" s="7"/>
      <c r="F14" s="7" t="s">
        <v>882</v>
      </c>
      <c r="G14" s="7" t="s">
        <v>855</v>
      </c>
      <c r="H14" s="7" t="s">
        <v>883</v>
      </c>
      <c r="I14" s="7"/>
      <c r="J14" s="7" t="s">
        <v>884</v>
      </c>
      <c r="K14" s="10"/>
      <c r="L14" s="10"/>
      <c r="M14" s="10"/>
    </row>
    <row r="15" customFormat="false" ht="23.85" hidden="false" customHeight="false" outlineLevel="0" collapsed="false">
      <c r="A15" s="7" t="s">
        <v>885</v>
      </c>
      <c r="B15" s="7" t="s">
        <v>838</v>
      </c>
      <c r="C15" s="7" t="s">
        <v>886</v>
      </c>
      <c r="D15" s="7" t="s">
        <v>793</v>
      </c>
      <c r="E15" s="7" t="s">
        <v>887</v>
      </c>
      <c r="F15" s="7" t="s">
        <v>847</v>
      </c>
      <c r="G15" s="7" t="s">
        <v>848</v>
      </c>
      <c r="H15" s="7" t="s">
        <v>888</v>
      </c>
      <c r="I15" s="7"/>
      <c r="J15" s="7" t="s">
        <v>889</v>
      </c>
      <c r="K15" s="10"/>
      <c r="L15" s="10"/>
      <c r="M15" s="10"/>
    </row>
    <row r="16" customFormat="false" ht="23.85" hidden="false" customHeight="false" outlineLevel="0" collapsed="false">
      <c r="A16" s="7" t="s">
        <v>890</v>
      </c>
      <c r="B16" s="7" t="s">
        <v>838</v>
      </c>
      <c r="C16" s="7" t="s">
        <v>622</v>
      </c>
      <c r="D16" s="7" t="s">
        <v>891</v>
      </c>
      <c r="E16" s="7" t="s">
        <v>892</v>
      </c>
      <c r="F16" s="7" t="s">
        <v>893</v>
      </c>
      <c r="G16" s="7" t="s">
        <v>867</v>
      </c>
      <c r="H16" s="7" t="s">
        <v>894</v>
      </c>
      <c r="I16" s="7"/>
      <c r="J16" s="7" t="s">
        <v>895</v>
      </c>
      <c r="K16" s="10"/>
      <c r="L16" s="10"/>
      <c r="M16" s="10"/>
    </row>
    <row r="17" customFormat="false" ht="23.85" hidden="false" customHeight="false" outlineLevel="0" collapsed="false">
      <c r="A17" s="7" t="s">
        <v>896</v>
      </c>
      <c r="B17" s="7" t="s">
        <v>838</v>
      </c>
      <c r="C17" s="7" t="s">
        <v>897</v>
      </c>
      <c r="D17" s="7" t="s">
        <v>839</v>
      </c>
      <c r="E17" s="7" t="s">
        <v>853</v>
      </c>
      <c r="F17" s="7" t="s">
        <v>854</v>
      </c>
      <c r="G17" s="7" t="s">
        <v>855</v>
      </c>
      <c r="H17" s="7" t="s">
        <v>898</v>
      </c>
      <c r="I17" s="7"/>
      <c r="J17" s="7" t="s">
        <v>899</v>
      </c>
      <c r="K17" s="10"/>
      <c r="L17" s="10"/>
      <c r="M17" s="10"/>
    </row>
    <row r="18" customFormat="false" ht="23.85" hidden="false" customHeight="false" outlineLevel="0" collapsed="false">
      <c r="A18" s="7" t="s">
        <v>900</v>
      </c>
      <c r="B18" s="7" t="s">
        <v>838</v>
      </c>
      <c r="C18" s="7" t="s">
        <v>901</v>
      </c>
      <c r="D18" s="7" t="s">
        <v>859</v>
      </c>
      <c r="E18" s="7" t="s">
        <v>902</v>
      </c>
      <c r="F18" s="7" t="s">
        <v>903</v>
      </c>
      <c r="G18" s="7" t="s">
        <v>867</v>
      </c>
      <c r="H18" s="7" t="s">
        <v>904</v>
      </c>
      <c r="I18" s="7"/>
      <c r="J18" s="7" t="s">
        <v>905</v>
      </c>
      <c r="K18" s="10"/>
      <c r="L18" s="10"/>
      <c r="M18" s="10"/>
    </row>
    <row r="19" customFormat="false" ht="23.85" hidden="false" customHeight="false" outlineLevel="0" collapsed="false">
      <c r="A19" s="7" t="s">
        <v>906</v>
      </c>
      <c r="B19" s="7" t="s">
        <v>838</v>
      </c>
      <c r="C19" s="7" t="s">
        <v>907</v>
      </c>
      <c r="D19" s="7" t="s">
        <v>865</v>
      </c>
      <c r="E19" s="7" t="s">
        <v>908</v>
      </c>
      <c r="F19" s="7" t="s">
        <v>909</v>
      </c>
      <c r="G19" s="7" t="s">
        <v>867</v>
      </c>
      <c r="H19" s="7" t="s">
        <v>910</v>
      </c>
      <c r="I19" s="7"/>
      <c r="J19" s="7" t="s">
        <v>911</v>
      </c>
      <c r="K19" s="10"/>
      <c r="L19" s="10"/>
      <c r="M19" s="10"/>
    </row>
    <row r="20" customFormat="false" ht="23.85" hidden="false" customHeight="false" outlineLevel="0" collapsed="false">
      <c r="A20" s="7" t="s">
        <v>912</v>
      </c>
      <c r="B20" s="7" t="s">
        <v>838</v>
      </c>
      <c r="C20" s="7" t="s">
        <v>913</v>
      </c>
      <c r="D20" s="7" t="s">
        <v>839</v>
      </c>
      <c r="E20" s="7" t="s">
        <v>853</v>
      </c>
      <c r="F20" s="7" t="s">
        <v>854</v>
      </c>
      <c r="G20" s="7" t="s">
        <v>855</v>
      </c>
      <c r="H20" s="7" t="s">
        <v>898</v>
      </c>
      <c r="I20" s="7"/>
      <c r="J20" s="7" t="s">
        <v>914</v>
      </c>
      <c r="K20" s="10"/>
      <c r="L20" s="10"/>
      <c r="M20" s="10"/>
    </row>
    <row r="21" customFormat="false" ht="23.85" hidden="false" customHeight="false" outlineLevel="0" collapsed="false">
      <c r="A21" s="7" t="s">
        <v>915</v>
      </c>
      <c r="B21" s="7" t="s">
        <v>838</v>
      </c>
      <c r="C21" s="7" t="s">
        <v>916</v>
      </c>
      <c r="D21" s="7" t="s">
        <v>865</v>
      </c>
      <c r="E21" s="7" t="s">
        <v>853</v>
      </c>
      <c r="F21" s="7" t="s">
        <v>917</v>
      </c>
      <c r="G21" s="7" t="s">
        <v>867</v>
      </c>
      <c r="H21" s="7" t="s">
        <v>918</v>
      </c>
      <c r="I21" s="7"/>
      <c r="J21" s="7" t="s">
        <v>919</v>
      </c>
      <c r="K21" s="10"/>
      <c r="L21" s="10"/>
      <c r="M21" s="10"/>
    </row>
    <row r="22" customFormat="false" ht="23.85" hidden="false" customHeight="false" outlineLevel="0" collapsed="false">
      <c r="A22" s="7" t="s">
        <v>920</v>
      </c>
      <c r="B22" s="7" t="s">
        <v>838</v>
      </c>
      <c r="C22" s="7" t="s">
        <v>551</v>
      </c>
      <c r="D22" s="7" t="s">
        <v>839</v>
      </c>
      <c r="E22" s="7" t="s">
        <v>840</v>
      </c>
      <c r="F22" s="7" t="s">
        <v>921</v>
      </c>
      <c r="G22" s="7" t="s">
        <v>842</v>
      </c>
      <c r="H22" s="7" t="s">
        <v>922</v>
      </c>
      <c r="I22" s="7"/>
      <c r="J22" s="7" t="s">
        <v>923</v>
      </c>
      <c r="K22" s="10"/>
      <c r="L22" s="10"/>
      <c r="M22" s="10"/>
    </row>
    <row r="23" customFormat="false" ht="23.85" hidden="false" customHeight="false" outlineLevel="0" collapsed="false">
      <c r="A23" s="7" t="s">
        <v>924</v>
      </c>
      <c r="B23" s="7" t="s">
        <v>838</v>
      </c>
      <c r="C23" s="7" t="s">
        <v>925</v>
      </c>
      <c r="D23" s="7" t="s">
        <v>865</v>
      </c>
      <c r="E23" s="7" t="s">
        <v>908</v>
      </c>
      <c r="F23" s="7" t="s">
        <v>909</v>
      </c>
      <c r="G23" s="7" t="s">
        <v>926</v>
      </c>
      <c r="H23" s="7" t="s">
        <v>927</v>
      </c>
      <c r="I23" s="7"/>
      <c r="J23" s="7" t="s">
        <v>928</v>
      </c>
      <c r="K23" s="10"/>
      <c r="L23" s="10"/>
      <c r="M23" s="10"/>
    </row>
    <row r="24" customFormat="false" ht="23.85" hidden="false" customHeight="false" outlineLevel="0" collapsed="false">
      <c r="A24" s="7" t="s">
        <v>929</v>
      </c>
      <c r="B24" s="7" t="s">
        <v>930</v>
      </c>
      <c r="C24" s="7" t="s">
        <v>931</v>
      </c>
      <c r="D24" s="7" t="s">
        <v>839</v>
      </c>
      <c r="E24" s="7" t="s">
        <v>932</v>
      </c>
      <c r="F24" s="7" t="s">
        <v>861</v>
      </c>
      <c r="G24" s="7" t="s">
        <v>933</v>
      </c>
      <c r="H24" s="7" t="s">
        <v>934</v>
      </c>
      <c r="I24" s="7"/>
      <c r="J24" s="7"/>
      <c r="K24" s="10"/>
      <c r="L24" s="10"/>
      <c r="M24" s="10"/>
    </row>
    <row r="25" customFormat="false" ht="23.85" hidden="false" customHeight="false" outlineLevel="0" collapsed="false">
      <c r="A25" s="7" t="s">
        <v>935</v>
      </c>
      <c r="B25" s="7" t="s">
        <v>930</v>
      </c>
      <c r="C25" s="7" t="s">
        <v>936</v>
      </c>
      <c r="D25" s="7" t="s">
        <v>865</v>
      </c>
      <c r="E25" s="7" t="s">
        <v>871</v>
      </c>
      <c r="F25" s="7" t="s">
        <v>937</v>
      </c>
      <c r="G25" s="7" t="s">
        <v>926</v>
      </c>
      <c r="H25" s="7" t="s">
        <v>938</v>
      </c>
      <c r="I25" s="7"/>
      <c r="J25" s="7" t="s">
        <v>939</v>
      </c>
      <c r="K25" s="10"/>
      <c r="L25" s="10"/>
      <c r="M25" s="10"/>
    </row>
    <row r="26" customFormat="false" ht="23.85" hidden="false" customHeight="false" outlineLevel="0" collapsed="false">
      <c r="A26" s="7" t="s">
        <v>940</v>
      </c>
      <c r="B26" s="7" t="s">
        <v>930</v>
      </c>
      <c r="C26" s="7" t="s">
        <v>941</v>
      </c>
      <c r="D26" s="7" t="s">
        <v>839</v>
      </c>
      <c r="E26" s="7" t="s">
        <v>942</v>
      </c>
      <c r="F26" s="7" t="s">
        <v>943</v>
      </c>
      <c r="G26" s="7" t="s">
        <v>842</v>
      </c>
      <c r="H26" s="7" t="s">
        <v>944</v>
      </c>
      <c r="I26" s="7"/>
      <c r="J26" s="7" t="s">
        <v>945</v>
      </c>
      <c r="K26" s="10"/>
      <c r="L26" s="10"/>
      <c r="M26" s="10"/>
    </row>
    <row r="27" customFormat="false" ht="23.85" hidden="false" customHeight="false" outlineLevel="0" collapsed="false">
      <c r="A27" s="7" t="s">
        <v>946</v>
      </c>
      <c r="B27" s="7" t="s">
        <v>930</v>
      </c>
      <c r="C27" s="7" t="s">
        <v>947</v>
      </c>
      <c r="D27" s="7" t="s">
        <v>865</v>
      </c>
      <c r="E27" s="7" t="s">
        <v>871</v>
      </c>
      <c r="F27" s="7" t="s">
        <v>877</v>
      </c>
      <c r="G27" s="7" t="s">
        <v>926</v>
      </c>
      <c r="H27" s="7" t="s">
        <v>948</v>
      </c>
      <c r="I27" s="7" t="s">
        <v>949</v>
      </c>
      <c r="J27" s="7" t="s">
        <v>950</v>
      </c>
      <c r="K27" s="10"/>
      <c r="L27" s="10"/>
      <c r="M27" s="10"/>
    </row>
    <row r="28" customFormat="false" ht="23.85" hidden="false" customHeight="false" outlineLevel="0" collapsed="false">
      <c r="A28" s="7" t="s">
        <v>951</v>
      </c>
      <c r="B28" s="7" t="s">
        <v>930</v>
      </c>
      <c r="C28" s="7" t="s">
        <v>952</v>
      </c>
      <c r="D28" s="7" t="s">
        <v>839</v>
      </c>
      <c r="E28" s="7" t="s">
        <v>953</v>
      </c>
      <c r="F28" s="7" t="s">
        <v>954</v>
      </c>
      <c r="G28" s="7" t="s">
        <v>855</v>
      </c>
      <c r="H28" s="7" t="s">
        <v>955</v>
      </c>
      <c r="I28" s="7"/>
      <c r="J28" s="7" t="s">
        <v>956</v>
      </c>
      <c r="K28" s="10"/>
      <c r="L28" s="10"/>
      <c r="M28" s="10"/>
    </row>
    <row r="29" customFormat="false" ht="23.85" hidden="false" customHeight="false" outlineLevel="0" collapsed="false">
      <c r="A29" s="7" t="s">
        <v>957</v>
      </c>
      <c r="B29" s="7" t="s">
        <v>930</v>
      </c>
      <c r="C29" s="7" t="s">
        <v>958</v>
      </c>
      <c r="D29" s="7" t="s">
        <v>865</v>
      </c>
      <c r="E29" s="7" t="s">
        <v>908</v>
      </c>
      <c r="F29" s="7" t="s">
        <v>959</v>
      </c>
      <c r="G29" s="7" t="s">
        <v>867</v>
      </c>
      <c r="H29" s="7" t="s">
        <v>960</v>
      </c>
      <c r="I29" s="7"/>
      <c r="J29" s="7" t="s">
        <v>961</v>
      </c>
      <c r="K29" s="10"/>
      <c r="L29" s="10"/>
      <c r="M29" s="10"/>
    </row>
    <row r="30" customFormat="false" ht="23.85" hidden="false" customHeight="false" outlineLevel="0" collapsed="false">
      <c r="A30" s="7" t="s">
        <v>962</v>
      </c>
      <c r="B30" s="7" t="s">
        <v>930</v>
      </c>
      <c r="C30" s="7" t="s">
        <v>963</v>
      </c>
      <c r="D30" s="7" t="s">
        <v>839</v>
      </c>
      <c r="E30" s="7" t="s">
        <v>871</v>
      </c>
      <c r="F30" s="7" t="s">
        <v>964</v>
      </c>
      <c r="G30" s="7" t="s">
        <v>855</v>
      </c>
      <c r="H30" s="7" t="s">
        <v>965</v>
      </c>
      <c r="I30" s="7"/>
      <c r="J30" s="7" t="s">
        <v>966</v>
      </c>
      <c r="K30" s="10"/>
      <c r="L30" s="10"/>
      <c r="M30" s="10"/>
    </row>
    <row r="31" customFormat="false" ht="23.85" hidden="false" customHeight="false" outlineLevel="0" collapsed="false">
      <c r="A31" s="7" t="s">
        <v>967</v>
      </c>
      <c r="B31" s="7" t="s">
        <v>930</v>
      </c>
      <c r="C31" s="7" t="s">
        <v>968</v>
      </c>
      <c r="D31" s="7" t="s">
        <v>865</v>
      </c>
      <c r="E31" s="7" t="s">
        <v>871</v>
      </c>
      <c r="F31" s="7" t="s">
        <v>969</v>
      </c>
      <c r="G31" s="7" t="s">
        <v>867</v>
      </c>
      <c r="H31" s="7" t="s">
        <v>970</v>
      </c>
      <c r="I31" s="7"/>
      <c r="J31" s="7" t="s">
        <v>971</v>
      </c>
      <c r="K31" s="10"/>
      <c r="L31" s="10"/>
      <c r="M31" s="10"/>
    </row>
    <row r="32" customFormat="false" ht="23.85" hidden="false" customHeight="false" outlineLevel="0" collapsed="false">
      <c r="A32" s="7" t="s">
        <v>972</v>
      </c>
      <c r="B32" s="7" t="s">
        <v>930</v>
      </c>
      <c r="C32" s="7" t="s">
        <v>973</v>
      </c>
      <c r="D32" s="7" t="s">
        <v>859</v>
      </c>
      <c r="E32" s="7" t="s">
        <v>860</v>
      </c>
      <c r="F32" s="7" t="s">
        <v>861</v>
      </c>
      <c r="G32" s="7" t="s">
        <v>867</v>
      </c>
      <c r="H32" s="7" t="s">
        <v>974</v>
      </c>
      <c r="I32" s="7"/>
      <c r="J32" s="7" t="s">
        <v>975</v>
      </c>
      <c r="K32" s="10"/>
      <c r="L32" s="10"/>
      <c r="M32" s="10"/>
    </row>
    <row r="33" customFormat="false" ht="23.85" hidden="false" customHeight="false" outlineLevel="0" collapsed="false">
      <c r="A33" s="7" t="s">
        <v>976</v>
      </c>
      <c r="B33" s="7" t="s">
        <v>930</v>
      </c>
      <c r="C33" s="7" t="s">
        <v>977</v>
      </c>
      <c r="D33" s="7" t="s">
        <v>865</v>
      </c>
      <c r="E33" s="7" t="s">
        <v>871</v>
      </c>
      <c r="F33" s="7" t="s">
        <v>872</v>
      </c>
      <c r="G33" s="7" t="s">
        <v>926</v>
      </c>
      <c r="H33" s="7" t="s">
        <v>978</v>
      </c>
      <c r="I33" s="7" t="s">
        <v>979</v>
      </c>
      <c r="J33" s="7" t="s">
        <v>980</v>
      </c>
      <c r="K33" s="10"/>
      <c r="L33" s="10"/>
      <c r="M33" s="10"/>
    </row>
    <row r="34" customFormat="false" ht="23.85" hidden="false" customHeight="false" outlineLevel="0" collapsed="false">
      <c r="A34" s="7" t="s">
        <v>981</v>
      </c>
      <c r="B34" s="7" t="s">
        <v>930</v>
      </c>
      <c r="C34" s="7" t="s">
        <v>982</v>
      </c>
      <c r="D34" s="7" t="s">
        <v>859</v>
      </c>
      <c r="E34" s="7" t="s">
        <v>902</v>
      </c>
      <c r="F34" s="7" t="s">
        <v>983</v>
      </c>
      <c r="G34" s="7" t="s">
        <v>867</v>
      </c>
      <c r="H34" s="7" t="s">
        <v>904</v>
      </c>
      <c r="I34" s="7"/>
      <c r="J34" s="7" t="s">
        <v>984</v>
      </c>
      <c r="K34" s="10"/>
      <c r="L34" s="10"/>
      <c r="M34" s="10"/>
    </row>
    <row r="35" customFormat="false" ht="23.85" hidden="false" customHeight="false" outlineLevel="0" collapsed="false">
      <c r="A35" s="7" t="s">
        <v>985</v>
      </c>
      <c r="B35" s="7" t="s">
        <v>930</v>
      </c>
      <c r="C35" s="7" t="s">
        <v>986</v>
      </c>
      <c r="D35" s="7" t="s">
        <v>859</v>
      </c>
      <c r="E35" s="7" t="s">
        <v>860</v>
      </c>
      <c r="F35" s="7" t="s">
        <v>861</v>
      </c>
      <c r="G35" s="7" t="s">
        <v>867</v>
      </c>
      <c r="H35" s="7" t="s">
        <v>987</v>
      </c>
      <c r="I35" s="7"/>
      <c r="J35" s="7" t="s">
        <v>988</v>
      </c>
      <c r="K35" s="10"/>
      <c r="L35" s="10"/>
      <c r="M35" s="10"/>
    </row>
    <row r="36" customFormat="false" ht="23.85" hidden="false" customHeight="false" outlineLevel="0" collapsed="false">
      <c r="A36" s="7" t="s">
        <v>989</v>
      </c>
      <c r="B36" s="7" t="s">
        <v>930</v>
      </c>
      <c r="C36" s="7" t="s">
        <v>990</v>
      </c>
      <c r="D36" s="7" t="s">
        <v>859</v>
      </c>
      <c r="E36" s="7" t="s">
        <v>860</v>
      </c>
      <c r="F36" s="7" t="s">
        <v>847</v>
      </c>
      <c r="G36" s="7" t="s">
        <v>867</v>
      </c>
      <c r="H36" s="7" t="s">
        <v>991</v>
      </c>
      <c r="I36" s="7"/>
      <c r="J36" s="7"/>
      <c r="K36" s="10"/>
      <c r="L36" s="10"/>
      <c r="M36" s="10"/>
    </row>
    <row r="37" customFormat="false" ht="23.85" hidden="false" customHeight="false" outlineLevel="0" collapsed="false">
      <c r="A37" s="7" t="s">
        <v>992</v>
      </c>
      <c r="B37" s="7" t="s">
        <v>930</v>
      </c>
      <c r="C37" s="7" t="s">
        <v>993</v>
      </c>
      <c r="D37" s="7" t="s">
        <v>865</v>
      </c>
      <c r="E37" s="7" t="s">
        <v>871</v>
      </c>
      <c r="F37" s="7" t="s">
        <v>994</v>
      </c>
      <c r="G37" s="7" t="s">
        <v>867</v>
      </c>
      <c r="H37" s="7" t="s">
        <v>995</v>
      </c>
      <c r="I37" s="7"/>
      <c r="J37" s="7" t="s">
        <v>996</v>
      </c>
      <c r="K37" s="10"/>
      <c r="L37" s="10"/>
      <c r="M37" s="10"/>
    </row>
    <row r="38" customFormat="false" ht="23.85" hidden="false" customHeight="false" outlineLevel="0" collapsed="false">
      <c r="A38" s="7" t="s">
        <v>997</v>
      </c>
      <c r="B38" s="7" t="s">
        <v>930</v>
      </c>
      <c r="C38" s="7" t="s">
        <v>998</v>
      </c>
      <c r="D38" s="7" t="s">
        <v>865</v>
      </c>
      <c r="E38" s="7" t="s">
        <v>840</v>
      </c>
      <c r="F38" s="7" t="s">
        <v>921</v>
      </c>
      <c r="G38" s="7" t="s">
        <v>867</v>
      </c>
      <c r="H38" s="7" t="s">
        <v>999</v>
      </c>
      <c r="I38" s="7"/>
      <c r="J38" s="7" t="s">
        <v>1000</v>
      </c>
      <c r="K38" s="10"/>
      <c r="L38" s="10"/>
      <c r="M38" s="10"/>
    </row>
    <row r="39" customFormat="false" ht="23.85" hidden="false" customHeight="false" outlineLevel="0" collapsed="false">
      <c r="A39" s="7" t="s">
        <v>1001</v>
      </c>
      <c r="B39" s="7" t="s">
        <v>930</v>
      </c>
      <c r="C39" s="7" t="s">
        <v>1002</v>
      </c>
      <c r="D39" s="7" t="s">
        <v>859</v>
      </c>
      <c r="E39" s="7" t="s">
        <v>860</v>
      </c>
      <c r="F39" s="7" t="s">
        <v>1003</v>
      </c>
      <c r="G39" s="7" t="s">
        <v>842</v>
      </c>
      <c r="H39" s="7" t="s">
        <v>1004</v>
      </c>
      <c r="I39" s="7"/>
      <c r="J39" s="7"/>
      <c r="K39" s="10"/>
      <c r="L39" s="10"/>
      <c r="M39" s="10"/>
    </row>
    <row r="40" customFormat="false" ht="23.85" hidden="false" customHeight="false" outlineLevel="0" collapsed="false">
      <c r="A40" s="7" t="s">
        <v>1005</v>
      </c>
      <c r="B40" s="7" t="s">
        <v>930</v>
      </c>
      <c r="C40" s="7" t="s">
        <v>1006</v>
      </c>
      <c r="D40" s="7" t="s">
        <v>839</v>
      </c>
      <c r="E40" s="7" t="s">
        <v>932</v>
      </c>
      <c r="F40" s="7" t="s">
        <v>1007</v>
      </c>
      <c r="G40" s="7" t="s">
        <v>933</v>
      </c>
      <c r="H40" s="7" t="s">
        <v>1008</v>
      </c>
      <c r="I40" s="7"/>
      <c r="J40" s="7"/>
      <c r="K40" s="10"/>
      <c r="L40" s="10"/>
      <c r="M40" s="10"/>
    </row>
    <row r="41" customFormat="false" ht="23.85" hidden="false" customHeight="false" outlineLevel="0" collapsed="false">
      <c r="A41" s="7" t="s">
        <v>1009</v>
      </c>
      <c r="B41" s="7" t="s">
        <v>930</v>
      </c>
      <c r="C41" s="7" t="s">
        <v>1010</v>
      </c>
      <c r="D41" s="7" t="s">
        <v>839</v>
      </c>
      <c r="E41" s="7" t="s">
        <v>1011</v>
      </c>
      <c r="F41" s="7" t="s">
        <v>909</v>
      </c>
      <c r="G41" s="7" t="s">
        <v>867</v>
      </c>
      <c r="H41" s="7" t="s">
        <v>1012</v>
      </c>
      <c r="I41" s="7" t="s">
        <v>1013</v>
      </c>
      <c r="J41" s="7" t="s">
        <v>1014</v>
      </c>
      <c r="K41" s="10"/>
      <c r="L41" s="10"/>
      <c r="M41" s="10"/>
    </row>
    <row r="42" customFormat="false" ht="23.85" hidden="false" customHeight="false" outlineLevel="0" collapsed="false">
      <c r="A42" s="7" t="s">
        <v>1015</v>
      </c>
      <c r="B42" s="7" t="s">
        <v>930</v>
      </c>
      <c r="C42" s="7" t="s">
        <v>1016</v>
      </c>
      <c r="D42" s="7" t="s">
        <v>865</v>
      </c>
      <c r="E42" s="7" t="s">
        <v>840</v>
      </c>
      <c r="F42" s="7" t="s">
        <v>1007</v>
      </c>
      <c r="G42" s="7" t="s">
        <v>867</v>
      </c>
      <c r="H42" s="7" t="s">
        <v>1017</v>
      </c>
      <c r="I42" s="7"/>
      <c r="J42" s="7" t="s">
        <v>1018</v>
      </c>
      <c r="K42" s="10"/>
      <c r="L42" s="10"/>
      <c r="M42" s="10"/>
    </row>
    <row r="43" customFormat="false" ht="23.85" hidden="false" customHeight="false" outlineLevel="0" collapsed="false">
      <c r="A43" s="7" t="s">
        <v>1019</v>
      </c>
      <c r="B43" s="7" t="s">
        <v>930</v>
      </c>
      <c r="C43" s="7" t="s">
        <v>986</v>
      </c>
      <c r="D43" s="7" t="s">
        <v>859</v>
      </c>
      <c r="E43" s="7" t="s">
        <v>860</v>
      </c>
      <c r="F43" s="7" t="s">
        <v>1020</v>
      </c>
      <c r="G43" s="7" t="s">
        <v>867</v>
      </c>
      <c r="H43" s="7" t="s">
        <v>974</v>
      </c>
      <c r="I43" s="7"/>
      <c r="J43" s="7" t="s">
        <v>1021</v>
      </c>
      <c r="K43" s="10"/>
      <c r="L43" s="10"/>
      <c r="M43" s="10"/>
    </row>
    <row r="44" customFormat="false" ht="23.85" hidden="false" customHeight="false" outlineLevel="0" collapsed="false">
      <c r="A44" s="7" t="s">
        <v>1022</v>
      </c>
      <c r="B44" s="7" t="s">
        <v>930</v>
      </c>
      <c r="C44" s="7" t="s">
        <v>1023</v>
      </c>
      <c r="D44" s="7" t="s">
        <v>839</v>
      </c>
      <c r="E44" s="7" t="s">
        <v>932</v>
      </c>
      <c r="F44" s="7" t="s">
        <v>1024</v>
      </c>
      <c r="G44" s="7" t="s">
        <v>933</v>
      </c>
      <c r="H44" s="7" t="s">
        <v>1025</v>
      </c>
      <c r="I44" s="7"/>
      <c r="J44" s="7" t="s">
        <v>1026</v>
      </c>
      <c r="K44" s="10"/>
      <c r="L44" s="10"/>
      <c r="M44" s="10"/>
    </row>
    <row r="45" customFormat="false" ht="23.85" hidden="false" customHeight="false" outlineLevel="0" collapsed="false">
      <c r="A45" s="7" t="s">
        <v>1027</v>
      </c>
      <c r="B45" s="7" t="s">
        <v>930</v>
      </c>
      <c r="C45" s="7" t="s">
        <v>1010</v>
      </c>
      <c r="D45" s="7" t="s">
        <v>865</v>
      </c>
      <c r="E45" s="7" t="s">
        <v>840</v>
      </c>
      <c r="F45" s="7" t="s">
        <v>921</v>
      </c>
      <c r="G45" s="7" t="s">
        <v>867</v>
      </c>
      <c r="H45" s="7" t="s">
        <v>1028</v>
      </c>
      <c r="I45" s="7"/>
      <c r="J45" s="7" t="s">
        <v>1029</v>
      </c>
      <c r="K45" s="10"/>
      <c r="L45" s="10"/>
      <c r="M45" s="10"/>
    </row>
    <row r="46" customFormat="false" ht="23.85" hidden="false" customHeight="false" outlineLevel="0" collapsed="false">
      <c r="A46" s="7" t="s">
        <v>1030</v>
      </c>
      <c r="B46" s="7" t="s">
        <v>930</v>
      </c>
      <c r="C46" s="7" t="s">
        <v>1031</v>
      </c>
      <c r="D46" s="7" t="s">
        <v>839</v>
      </c>
      <c r="E46" s="7" t="s">
        <v>1011</v>
      </c>
      <c r="F46" s="7" t="s">
        <v>1032</v>
      </c>
      <c r="G46" s="7" t="s">
        <v>867</v>
      </c>
      <c r="H46" s="7" t="s">
        <v>1033</v>
      </c>
      <c r="I46" s="7"/>
      <c r="J46" s="7" t="s">
        <v>1034</v>
      </c>
      <c r="K46" s="10"/>
      <c r="L46" s="10"/>
      <c r="M46" s="10"/>
    </row>
    <row r="47" customFormat="false" ht="23.85" hidden="false" customHeight="false" outlineLevel="0" collapsed="false">
      <c r="A47" s="7" t="s">
        <v>1035</v>
      </c>
      <c r="B47" s="7" t="s">
        <v>930</v>
      </c>
      <c r="C47" s="7" t="s">
        <v>1036</v>
      </c>
      <c r="D47" s="7" t="s">
        <v>865</v>
      </c>
      <c r="E47" s="7" t="s">
        <v>840</v>
      </c>
      <c r="F47" s="7" t="s">
        <v>943</v>
      </c>
      <c r="G47" s="7" t="s">
        <v>867</v>
      </c>
      <c r="H47" s="7" t="s">
        <v>1037</v>
      </c>
      <c r="I47" s="7"/>
      <c r="J47" s="7" t="s">
        <v>1038</v>
      </c>
      <c r="K47" s="10"/>
      <c r="L47" s="10"/>
      <c r="M47" s="10"/>
    </row>
    <row r="48" customFormat="false" ht="23.85" hidden="false" customHeight="false" outlineLevel="0" collapsed="false">
      <c r="A48" s="7" t="s">
        <v>1039</v>
      </c>
      <c r="B48" s="7" t="s">
        <v>930</v>
      </c>
      <c r="C48" s="7" t="s">
        <v>1040</v>
      </c>
      <c r="D48" s="7" t="s">
        <v>839</v>
      </c>
      <c r="E48" s="7" t="s">
        <v>840</v>
      </c>
      <c r="F48" s="7" t="s">
        <v>921</v>
      </c>
      <c r="G48" s="7" t="s">
        <v>842</v>
      </c>
      <c r="H48" s="7" t="s">
        <v>999</v>
      </c>
      <c r="I48" s="7"/>
      <c r="J48" s="7" t="s">
        <v>1041</v>
      </c>
      <c r="K48" s="10"/>
      <c r="L48" s="10"/>
      <c r="M48" s="10"/>
    </row>
    <row r="49" customFormat="false" ht="23.85" hidden="false" customHeight="false" outlineLevel="0" collapsed="false">
      <c r="A49" s="7" t="s">
        <v>1042</v>
      </c>
      <c r="B49" s="7" t="s">
        <v>930</v>
      </c>
      <c r="C49" s="7" t="s">
        <v>941</v>
      </c>
      <c r="D49" s="7" t="s">
        <v>839</v>
      </c>
      <c r="E49" s="7" t="s">
        <v>942</v>
      </c>
      <c r="F49" s="7" t="s">
        <v>943</v>
      </c>
      <c r="G49" s="7" t="s">
        <v>842</v>
      </c>
      <c r="H49" s="7" t="s">
        <v>1043</v>
      </c>
      <c r="I49" s="7"/>
      <c r="J49" s="7" t="s">
        <v>1044</v>
      </c>
      <c r="K49" s="10"/>
      <c r="L49" s="10"/>
      <c r="M49" s="10"/>
    </row>
    <row r="50" customFormat="false" ht="23.85" hidden="false" customHeight="false" outlineLevel="0" collapsed="false">
      <c r="A50" s="7" t="s">
        <v>1045</v>
      </c>
      <c r="B50" s="7" t="s">
        <v>930</v>
      </c>
      <c r="C50" s="7" t="s">
        <v>990</v>
      </c>
      <c r="D50" s="7" t="s">
        <v>839</v>
      </c>
      <c r="E50" s="7" t="s">
        <v>932</v>
      </c>
      <c r="F50" s="7" t="s">
        <v>861</v>
      </c>
      <c r="G50" s="7" t="s">
        <v>933</v>
      </c>
      <c r="H50" s="7" t="s">
        <v>1046</v>
      </c>
      <c r="I50" s="7"/>
      <c r="J50" s="7"/>
      <c r="K50" s="10"/>
      <c r="L50" s="10"/>
      <c r="M50" s="10"/>
    </row>
    <row r="51" customFormat="false" ht="23.85" hidden="false" customHeight="false" outlineLevel="0" collapsed="false">
      <c r="A51" s="7" t="s">
        <v>1047</v>
      </c>
      <c r="B51" s="7" t="s">
        <v>930</v>
      </c>
      <c r="C51" s="7" t="s">
        <v>1048</v>
      </c>
      <c r="D51" s="7" t="s">
        <v>839</v>
      </c>
      <c r="E51" s="7" t="s">
        <v>1011</v>
      </c>
      <c r="F51" s="7" t="s">
        <v>1024</v>
      </c>
      <c r="G51" s="7" t="s">
        <v>867</v>
      </c>
      <c r="H51" s="7" t="s">
        <v>1049</v>
      </c>
      <c r="I51" s="7" t="s">
        <v>1050</v>
      </c>
      <c r="J51" s="7" t="s">
        <v>1051</v>
      </c>
      <c r="K51" s="10"/>
      <c r="L51" s="10"/>
      <c r="M51" s="10"/>
    </row>
    <row r="52" customFormat="false" ht="23.85" hidden="false" customHeight="false" outlineLevel="0" collapsed="false">
      <c r="A52" s="7" t="s">
        <v>1052</v>
      </c>
      <c r="B52" s="7" t="s">
        <v>930</v>
      </c>
      <c r="C52" s="7" t="s">
        <v>1053</v>
      </c>
      <c r="D52" s="7" t="s">
        <v>865</v>
      </c>
      <c r="E52" s="7" t="s">
        <v>871</v>
      </c>
      <c r="F52" s="7" t="s">
        <v>969</v>
      </c>
      <c r="G52" s="7" t="s">
        <v>926</v>
      </c>
      <c r="H52" s="7" t="s">
        <v>1054</v>
      </c>
      <c r="I52" s="7"/>
      <c r="J52" s="7" t="s">
        <v>1055</v>
      </c>
      <c r="K52" s="10"/>
      <c r="L52" s="10"/>
      <c r="M52" s="10"/>
    </row>
    <row r="53" customFormat="false" ht="23.85" hidden="false" customHeight="false" outlineLevel="0" collapsed="false">
      <c r="A53" s="7" t="s">
        <v>1056</v>
      </c>
      <c r="B53" s="7" t="s">
        <v>930</v>
      </c>
      <c r="C53" s="7" t="s">
        <v>1057</v>
      </c>
      <c r="D53" s="7" t="s">
        <v>793</v>
      </c>
      <c r="E53" s="7" t="s">
        <v>876</v>
      </c>
      <c r="F53" s="7" t="s">
        <v>994</v>
      </c>
      <c r="G53" s="7" t="s">
        <v>848</v>
      </c>
      <c r="H53" s="7" t="s">
        <v>1058</v>
      </c>
      <c r="I53" s="7"/>
      <c r="J53" s="7" t="s">
        <v>1059</v>
      </c>
      <c r="K53" s="10"/>
      <c r="L53" s="10"/>
      <c r="M53" s="10"/>
    </row>
  </sheetData>
  <autoFilter ref="A6:M53"/>
  <mergeCells count="1">
    <mergeCell ref="A4:M4"/>
  </mergeCells>
  <dataValidations count="2">
    <dataValidation allowBlank="true" errorStyle="stop" operator="between" showDropDown="false" showErrorMessage="false" showInputMessage="false" sqref="K7:K53" type="list">
      <formula1>"Y,N,?"</formula1>
      <formula2>0</formula2>
    </dataValidation>
    <dataValidation allowBlank="true" errorStyle="stop" operator="between" showDropDown="false" showErrorMessage="false" showInputMessage="false" sqref="L7:L53"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9"/>
    <col collapsed="false" customWidth="true" hidden="false" outlineLevel="0" max="4" min="4" style="0" width="7"/>
    <col collapsed="false" customWidth="true" hidden="false" outlineLevel="0" max="5" min="5" style="0" width="11"/>
    <col collapsed="false" customWidth="true" hidden="false" outlineLevel="0" max="6" min="6" style="0" width="13"/>
    <col collapsed="false" customWidth="true" hidden="false" outlineLevel="0" max="8" min="7" style="0" width="30"/>
    <col collapsed="false" customWidth="true" hidden="false" outlineLevel="0" max="9" min="9" style="0" width="70"/>
    <col collapsed="false" customWidth="true" hidden="false" outlineLevel="0" max="10" min="10" style="0" width="30"/>
    <col collapsed="false" customWidth="true" hidden="false" outlineLevel="0" max="11" min="11" style="0" width="25"/>
  </cols>
  <sheetData>
    <row r="1" customFormat="false" ht="17.35" hidden="false" customHeight="false" outlineLevel="0" collapsed="false">
      <c r="A1" s="1" t="s">
        <v>1060</v>
      </c>
    </row>
    <row r="2" customFormat="false" ht="15" hidden="false" customHeight="false" outlineLevel="0" collapsed="false">
      <c r="A2" s="2" t="s">
        <v>1061</v>
      </c>
    </row>
    <row r="4" customFormat="false" ht="30" hidden="false" customHeight="true" outlineLevel="0" collapsed="false">
      <c r="A4" s="5" t="s">
        <v>1062</v>
      </c>
      <c r="B4" s="5"/>
      <c r="C4" s="5"/>
      <c r="D4" s="5"/>
      <c r="E4" s="5"/>
      <c r="F4" s="5"/>
      <c r="G4" s="5"/>
      <c r="H4" s="5"/>
      <c r="I4" s="5"/>
      <c r="J4" s="5"/>
      <c r="K4" s="5"/>
    </row>
    <row r="6" customFormat="false" ht="30" hidden="false" customHeight="true" outlineLevel="0" collapsed="false">
      <c r="A6" s="6" t="s">
        <v>144</v>
      </c>
      <c r="B6" s="6" t="s">
        <v>1063</v>
      </c>
      <c r="C6" s="6" t="s">
        <v>145</v>
      </c>
      <c r="D6" s="6" t="s">
        <v>146</v>
      </c>
      <c r="E6" s="6" t="s">
        <v>1064</v>
      </c>
      <c r="F6" s="6" t="s">
        <v>829</v>
      </c>
      <c r="G6" s="6" t="s">
        <v>1065</v>
      </c>
      <c r="H6" s="6" t="s">
        <v>147</v>
      </c>
      <c r="I6" s="6" t="s">
        <v>1066</v>
      </c>
      <c r="J6" s="6" t="s">
        <v>1067</v>
      </c>
      <c r="K6" s="6" t="s">
        <v>154</v>
      </c>
    </row>
    <row r="7" customFormat="false" ht="23.85" hidden="false" customHeight="false" outlineLevel="0" collapsed="false">
      <c r="A7" s="7" t="s">
        <v>1068</v>
      </c>
      <c r="B7" s="7" t="s">
        <v>1069</v>
      </c>
      <c r="C7" s="7" t="s">
        <v>156</v>
      </c>
      <c r="D7" s="7" t="s">
        <v>162</v>
      </c>
      <c r="E7" s="7" t="s">
        <v>1070</v>
      </c>
      <c r="F7" s="7" t="s">
        <v>859</v>
      </c>
      <c r="G7" s="7" t="s">
        <v>1071</v>
      </c>
      <c r="H7" s="7" t="s">
        <v>286</v>
      </c>
      <c r="I7" s="7" t="s">
        <v>346</v>
      </c>
      <c r="J7" s="10"/>
      <c r="K7" s="10"/>
    </row>
    <row r="8" customFormat="false" ht="23.85" hidden="false" customHeight="false" outlineLevel="0" collapsed="false">
      <c r="A8" s="7" t="s">
        <v>1072</v>
      </c>
      <c r="B8" s="7" t="s">
        <v>1069</v>
      </c>
      <c r="C8" s="7" t="s">
        <v>156</v>
      </c>
      <c r="D8" s="7" t="s">
        <v>157</v>
      </c>
      <c r="E8" s="7" t="s">
        <v>1073</v>
      </c>
      <c r="F8" s="7" t="s">
        <v>839</v>
      </c>
      <c r="G8" s="7" t="s">
        <v>1074</v>
      </c>
      <c r="H8" s="7" t="s">
        <v>286</v>
      </c>
      <c r="I8" s="7" t="s">
        <v>346</v>
      </c>
      <c r="J8" s="10"/>
      <c r="K8" s="10"/>
    </row>
    <row r="9" customFormat="false" ht="23.85" hidden="false" customHeight="false" outlineLevel="0" collapsed="false">
      <c r="A9" s="7" t="s">
        <v>1075</v>
      </c>
      <c r="B9" s="7" t="s">
        <v>1069</v>
      </c>
      <c r="C9" s="7" t="s">
        <v>156</v>
      </c>
      <c r="D9" s="7" t="s">
        <v>157</v>
      </c>
      <c r="E9" s="7" t="s">
        <v>1076</v>
      </c>
      <c r="F9" s="7" t="s">
        <v>793</v>
      </c>
      <c r="G9" s="7" t="s">
        <v>1077</v>
      </c>
      <c r="H9" s="7" t="s">
        <v>286</v>
      </c>
      <c r="I9" s="7" t="s">
        <v>346</v>
      </c>
      <c r="J9" s="10"/>
      <c r="K9" s="10"/>
    </row>
    <row r="10" customFormat="false" ht="23.85" hidden="false" customHeight="false" outlineLevel="0" collapsed="false">
      <c r="A10" s="7" t="s">
        <v>1078</v>
      </c>
      <c r="B10" s="7" t="s">
        <v>1069</v>
      </c>
      <c r="C10" s="7" t="s">
        <v>214</v>
      </c>
      <c r="D10" s="7" t="s">
        <v>225</v>
      </c>
      <c r="E10" s="7" t="s">
        <v>1079</v>
      </c>
      <c r="F10" s="7" t="s">
        <v>859</v>
      </c>
      <c r="G10" s="7" t="s">
        <v>1080</v>
      </c>
      <c r="H10" s="7" t="s">
        <v>286</v>
      </c>
      <c r="I10" s="7" t="s">
        <v>346</v>
      </c>
      <c r="J10" s="10"/>
      <c r="K10" s="10"/>
    </row>
    <row r="11" customFormat="false" ht="23.85" hidden="false" customHeight="false" outlineLevel="0" collapsed="false">
      <c r="A11" s="7" t="s">
        <v>1081</v>
      </c>
      <c r="B11" s="7" t="s">
        <v>1069</v>
      </c>
      <c r="C11" s="7" t="s">
        <v>156</v>
      </c>
      <c r="D11" s="7" t="s">
        <v>1082</v>
      </c>
      <c r="E11" s="7" t="s">
        <v>1083</v>
      </c>
      <c r="F11" s="7" t="s">
        <v>865</v>
      </c>
      <c r="G11" s="7" t="s">
        <v>1084</v>
      </c>
      <c r="H11" s="7" t="s">
        <v>286</v>
      </c>
      <c r="I11" s="7" t="s">
        <v>346</v>
      </c>
      <c r="J11" s="10"/>
      <c r="K11" s="10"/>
    </row>
    <row r="12" customFormat="false" ht="23.85" hidden="false" customHeight="false" outlineLevel="0" collapsed="false">
      <c r="A12" s="7" t="s">
        <v>1085</v>
      </c>
      <c r="B12" s="7" t="s">
        <v>1069</v>
      </c>
      <c r="C12" s="7" t="s">
        <v>156</v>
      </c>
      <c r="D12" s="7" t="s">
        <v>1082</v>
      </c>
      <c r="E12" s="7" t="s">
        <v>1086</v>
      </c>
      <c r="F12" s="7" t="s">
        <v>865</v>
      </c>
      <c r="G12" s="7" t="s">
        <v>1084</v>
      </c>
      <c r="H12" s="7" t="s">
        <v>286</v>
      </c>
      <c r="I12" s="7" t="s">
        <v>346</v>
      </c>
      <c r="J12" s="10"/>
      <c r="K12" s="10"/>
    </row>
    <row r="13" customFormat="false" ht="23.85" hidden="false" customHeight="false" outlineLevel="0" collapsed="false">
      <c r="A13" s="7" t="s">
        <v>1087</v>
      </c>
      <c r="B13" s="7" t="s">
        <v>1069</v>
      </c>
      <c r="C13" s="7" t="s">
        <v>156</v>
      </c>
      <c r="D13" s="7" t="s">
        <v>1082</v>
      </c>
      <c r="E13" s="7" t="s">
        <v>1088</v>
      </c>
      <c r="F13" s="7" t="s">
        <v>793</v>
      </c>
      <c r="G13" s="7" t="s">
        <v>1089</v>
      </c>
      <c r="H13" s="7" t="s">
        <v>286</v>
      </c>
      <c r="I13" s="7" t="s">
        <v>346</v>
      </c>
      <c r="J13" s="10"/>
      <c r="K13" s="10"/>
    </row>
    <row r="14" customFormat="false" ht="23.85" hidden="false" customHeight="false" outlineLevel="0" collapsed="false">
      <c r="A14" s="7" t="s">
        <v>1090</v>
      </c>
      <c r="B14" s="7" t="s">
        <v>1069</v>
      </c>
      <c r="C14" s="7" t="s">
        <v>214</v>
      </c>
      <c r="D14" s="7" t="s">
        <v>233</v>
      </c>
      <c r="E14" s="7" t="s">
        <v>1091</v>
      </c>
      <c r="F14" s="7" t="s">
        <v>859</v>
      </c>
      <c r="G14" s="7" t="s">
        <v>1092</v>
      </c>
      <c r="H14" s="7" t="s">
        <v>286</v>
      </c>
      <c r="I14" s="7" t="s">
        <v>346</v>
      </c>
      <c r="J14" s="10"/>
      <c r="K14" s="10"/>
    </row>
    <row r="15" customFormat="false" ht="23.85" hidden="false" customHeight="false" outlineLevel="0" collapsed="false">
      <c r="A15" s="7" t="s">
        <v>1093</v>
      </c>
      <c r="B15" s="7" t="s">
        <v>1069</v>
      </c>
      <c r="C15" s="7" t="s">
        <v>156</v>
      </c>
      <c r="D15" s="7" t="s">
        <v>1082</v>
      </c>
      <c r="E15" s="7"/>
      <c r="F15" s="7"/>
      <c r="G15" s="7"/>
      <c r="H15" s="7" t="s">
        <v>286</v>
      </c>
      <c r="I15" s="7" t="s">
        <v>346</v>
      </c>
      <c r="J15" s="10"/>
      <c r="K15" s="10"/>
    </row>
    <row r="16" customFormat="false" ht="23.85" hidden="false" customHeight="false" outlineLevel="0" collapsed="false">
      <c r="A16" s="7" t="s">
        <v>1094</v>
      </c>
      <c r="B16" s="7" t="s">
        <v>1069</v>
      </c>
      <c r="C16" s="7" t="s">
        <v>214</v>
      </c>
      <c r="D16" s="7" t="s">
        <v>233</v>
      </c>
      <c r="E16" s="7" t="s">
        <v>1095</v>
      </c>
      <c r="F16" s="7" t="s">
        <v>859</v>
      </c>
      <c r="G16" s="7" t="s">
        <v>1096</v>
      </c>
      <c r="H16" s="7" t="s">
        <v>286</v>
      </c>
      <c r="I16" s="7" t="s">
        <v>1097</v>
      </c>
      <c r="J16" s="10"/>
      <c r="K16" s="10"/>
    </row>
    <row r="17" customFormat="false" ht="23.85" hidden="false" customHeight="false" outlineLevel="0" collapsed="false">
      <c r="A17" s="7" t="s">
        <v>1098</v>
      </c>
      <c r="B17" s="7" t="s">
        <v>1069</v>
      </c>
      <c r="C17" s="7" t="s">
        <v>214</v>
      </c>
      <c r="D17" s="7" t="s">
        <v>253</v>
      </c>
      <c r="E17" s="7" t="s">
        <v>1099</v>
      </c>
      <c r="F17" s="7" t="s">
        <v>859</v>
      </c>
      <c r="G17" s="7" t="s">
        <v>862</v>
      </c>
      <c r="H17" s="7" t="s">
        <v>286</v>
      </c>
      <c r="I17" s="7" t="s">
        <v>346</v>
      </c>
      <c r="J17" s="10"/>
      <c r="K17" s="10"/>
    </row>
    <row r="18" customFormat="false" ht="35.05" hidden="false" customHeight="false" outlineLevel="0" collapsed="false">
      <c r="A18" s="7" t="s">
        <v>1100</v>
      </c>
      <c r="B18" s="7" t="s">
        <v>1069</v>
      </c>
      <c r="C18" s="7" t="s">
        <v>214</v>
      </c>
      <c r="D18" s="7" t="s">
        <v>697</v>
      </c>
      <c r="E18" s="7" t="s">
        <v>700</v>
      </c>
      <c r="F18" s="7" t="s">
        <v>1101</v>
      </c>
      <c r="G18" s="7" t="s">
        <v>701</v>
      </c>
      <c r="H18" s="7" t="s">
        <v>286</v>
      </c>
      <c r="I18" s="7" t="s">
        <v>1102</v>
      </c>
      <c r="J18" s="10"/>
      <c r="K18" s="10"/>
    </row>
    <row r="19" customFormat="false" ht="35.05" hidden="false" customHeight="false" outlineLevel="0" collapsed="false">
      <c r="A19" s="7" t="s">
        <v>1103</v>
      </c>
      <c r="B19" s="7" t="s">
        <v>1069</v>
      </c>
      <c r="C19" s="7" t="s">
        <v>214</v>
      </c>
      <c r="D19" s="7" t="s">
        <v>697</v>
      </c>
      <c r="E19" s="7" t="s">
        <v>695</v>
      </c>
      <c r="F19" s="7" t="s">
        <v>1101</v>
      </c>
      <c r="G19" s="7" t="s">
        <v>698</v>
      </c>
      <c r="H19" s="7" t="s">
        <v>286</v>
      </c>
      <c r="I19" s="7" t="s">
        <v>1104</v>
      </c>
      <c r="J19" s="10"/>
      <c r="K19" s="10"/>
    </row>
    <row r="20" customFormat="false" ht="46.25" hidden="false" customHeight="false" outlineLevel="0" collapsed="false">
      <c r="A20" s="7" t="s">
        <v>1105</v>
      </c>
      <c r="B20" s="7" t="s">
        <v>1069</v>
      </c>
      <c r="C20" s="7" t="s">
        <v>214</v>
      </c>
      <c r="D20" s="7" t="s">
        <v>336</v>
      </c>
      <c r="E20" s="7" t="s">
        <v>1106</v>
      </c>
      <c r="F20" s="7" t="s">
        <v>793</v>
      </c>
      <c r="G20" s="7" t="s">
        <v>1107</v>
      </c>
      <c r="H20" s="7" t="s">
        <v>226</v>
      </c>
      <c r="I20" s="7" t="s">
        <v>1108</v>
      </c>
      <c r="J20" s="10"/>
      <c r="K20" s="10"/>
    </row>
    <row r="21" customFormat="false" ht="46.25" hidden="false" customHeight="false" outlineLevel="0" collapsed="false">
      <c r="A21" s="7" t="s">
        <v>1109</v>
      </c>
      <c r="B21" s="7" t="s">
        <v>1069</v>
      </c>
      <c r="C21" s="7" t="s">
        <v>214</v>
      </c>
      <c r="D21" s="7" t="s">
        <v>338</v>
      </c>
      <c r="E21" s="7" t="s">
        <v>1110</v>
      </c>
      <c r="F21" s="7" t="s">
        <v>793</v>
      </c>
      <c r="G21" s="7" t="s">
        <v>1111</v>
      </c>
      <c r="H21" s="7" t="s">
        <v>226</v>
      </c>
      <c r="I21" s="7" t="s">
        <v>1112</v>
      </c>
      <c r="J21" s="10"/>
      <c r="K21" s="10"/>
    </row>
    <row r="22" customFormat="false" ht="46.25" hidden="false" customHeight="false" outlineLevel="0" collapsed="false">
      <c r="A22" s="7" t="s">
        <v>1113</v>
      </c>
      <c r="B22" s="7" t="s">
        <v>1069</v>
      </c>
      <c r="C22" s="7" t="s">
        <v>214</v>
      </c>
      <c r="D22" s="7" t="s">
        <v>239</v>
      </c>
      <c r="E22" s="7" t="s">
        <v>1114</v>
      </c>
      <c r="F22" s="7" t="s">
        <v>859</v>
      </c>
      <c r="G22" s="7" t="s">
        <v>1115</v>
      </c>
      <c r="H22" s="7" t="s">
        <v>1116</v>
      </c>
      <c r="I22" s="7" t="s">
        <v>1117</v>
      </c>
      <c r="J22" s="10"/>
      <c r="K22" s="10"/>
    </row>
    <row r="23" customFormat="false" ht="35.05" hidden="false" customHeight="false" outlineLevel="0" collapsed="false">
      <c r="A23" s="7" t="s">
        <v>1118</v>
      </c>
      <c r="B23" s="7" t="s">
        <v>1069</v>
      </c>
      <c r="C23" s="7" t="s">
        <v>214</v>
      </c>
      <c r="D23" s="7" t="s">
        <v>718</v>
      </c>
      <c r="E23" s="7" t="s">
        <v>716</v>
      </c>
      <c r="F23" s="7" t="s">
        <v>1101</v>
      </c>
      <c r="G23" s="7" t="s">
        <v>719</v>
      </c>
      <c r="H23" s="7" t="s">
        <v>286</v>
      </c>
      <c r="I23" s="7" t="s">
        <v>1119</v>
      </c>
      <c r="J23" s="10"/>
      <c r="K23" s="10"/>
    </row>
    <row r="24" customFormat="false" ht="35.05" hidden="false" customHeight="false" outlineLevel="0" collapsed="false">
      <c r="A24" s="7" t="s">
        <v>1120</v>
      </c>
      <c r="B24" s="7" t="s">
        <v>1069</v>
      </c>
      <c r="C24" s="7" t="s">
        <v>214</v>
      </c>
      <c r="D24" s="7" t="s">
        <v>285</v>
      </c>
      <c r="E24" s="7" t="s">
        <v>726</v>
      </c>
      <c r="F24" s="7" t="s">
        <v>1101</v>
      </c>
      <c r="G24" s="7" t="s">
        <v>728</v>
      </c>
      <c r="H24" s="7" t="s">
        <v>286</v>
      </c>
      <c r="I24" s="7" t="s">
        <v>1121</v>
      </c>
      <c r="J24" s="10"/>
      <c r="K24" s="10"/>
    </row>
    <row r="25" customFormat="false" ht="35.05" hidden="false" customHeight="false" outlineLevel="0" collapsed="false">
      <c r="A25" s="7" t="s">
        <v>1122</v>
      </c>
      <c r="B25" s="7" t="s">
        <v>1069</v>
      </c>
      <c r="C25" s="7" t="s">
        <v>214</v>
      </c>
      <c r="D25" s="7" t="s">
        <v>697</v>
      </c>
      <c r="E25" s="7" t="s">
        <v>730</v>
      </c>
      <c r="F25" s="7" t="s">
        <v>1101</v>
      </c>
      <c r="G25" s="7" t="s">
        <v>728</v>
      </c>
      <c r="H25" s="7" t="s">
        <v>286</v>
      </c>
      <c r="I25" s="7" t="s">
        <v>1123</v>
      </c>
      <c r="J25" s="10"/>
      <c r="K25" s="10"/>
    </row>
    <row r="26" customFormat="false" ht="35.05" hidden="false" customHeight="false" outlineLevel="0" collapsed="false">
      <c r="A26" s="7" t="s">
        <v>1124</v>
      </c>
      <c r="B26" s="7" t="s">
        <v>1069</v>
      </c>
      <c r="C26" s="7" t="s">
        <v>214</v>
      </c>
      <c r="D26" s="7" t="s">
        <v>737</v>
      </c>
      <c r="E26" s="7" t="s">
        <v>736</v>
      </c>
      <c r="F26" s="7" t="s">
        <v>1101</v>
      </c>
      <c r="G26" s="7" t="s">
        <v>728</v>
      </c>
      <c r="H26" s="7" t="s">
        <v>286</v>
      </c>
      <c r="I26" s="7" t="s">
        <v>1125</v>
      </c>
      <c r="J26" s="10"/>
      <c r="K26" s="10"/>
    </row>
    <row r="27" customFormat="false" ht="35.05" hidden="false" customHeight="false" outlineLevel="0" collapsed="false">
      <c r="A27" s="7" t="s">
        <v>1126</v>
      </c>
      <c r="B27" s="7" t="s">
        <v>1069</v>
      </c>
      <c r="C27" s="7" t="s">
        <v>214</v>
      </c>
      <c r="D27" s="7" t="s">
        <v>718</v>
      </c>
      <c r="E27" s="7" t="s">
        <v>732</v>
      </c>
      <c r="F27" s="7" t="s">
        <v>1101</v>
      </c>
      <c r="G27" s="7" t="s">
        <v>734</v>
      </c>
      <c r="H27" s="7" t="s">
        <v>286</v>
      </c>
      <c r="I27" s="7" t="s">
        <v>1127</v>
      </c>
      <c r="J27" s="10"/>
      <c r="K27" s="10"/>
    </row>
    <row r="28" customFormat="false" ht="35.05" hidden="false" customHeight="false" outlineLevel="0" collapsed="false">
      <c r="A28" s="7" t="s">
        <v>1128</v>
      </c>
      <c r="B28" s="7" t="s">
        <v>1069</v>
      </c>
      <c r="C28" s="7" t="s">
        <v>214</v>
      </c>
      <c r="D28" s="7" t="s">
        <v>743</v>
      </c>
      <c r="E28" s="7" t="s">
        <v>742</v>
      </c>
      <c r="F28" s="7" t="s">
        <v>1101</v>
      </c>
      <c r="G28" s="7" t="s">
        <v>744</v>
      </c>
      <c r="H28" s="7" t="s">
        <v>286</v>
      </c>
      <c r="I28" s="7" t="s">
        <v>1129</v>
      </c>
      <c r="J28" s="10"/>
      <c r="K28" s="10"/>
    </row>
    <row r="29" customFormat="false" ht="35.05" hidden="false" customHeight="false" outlineLevel="0" collapsed="false">
      <c r="A29" s="7" t="s">
        <v>1130</v>
      </c>
      <c r="B29" s="7" t="s">
        <v>1069</v>
      </c>
      <c r="C29" s="7" t="s">
        <v>214</v>
      </c>
      <c r="D29" s="7" t="s">
        <v>740</v>
      </c>
      <c r="E29" s="7" t="s">
        <v>739</v>
      </c>
      <c r="F29" s="7" t="s">
        <v>1101</v>
      </c>
      <c r="G29" s="7" t="s">
        <v>734</v>
      </c>
      <c r="H29" s="7" t="s">
        <v>286</v>
      </c>
      <c r="I29" s="7" t="s">
        <v>1131</v>
      </c>
      <c r="J29" s="10"/>
      <c r="K29" s="10"/>
    </row>
    <row r="30" customFormat="false" ht="46.25" hidden="false" customHeight="false" outlineLevel="0" collapsed="false">
      <c r="A30" s="7" t="s">
        <v>352</v>
      </c>
      <c r="B30" s="7" t="s">
        <v>1069</v>
      </c>
      <c r="C30" s="7" t="s">
        <v>214</v>
      </c>
      <c r="D30" s="7" t="s">
        <v>353</v>
      </c>
      <c r="E30" s="7"/>
      <c r="F30" s="7"/>
      <c r="G30" s="7"/>
      <c r="H30" s="7" t="s">
        <v>354</v>
      </c>
      <c r="I30" s="7" t="s">
        <v>1132</v>
      </c>
      <c r="J30" s="10"/>
      <c r="K30" s="10"/>
    </row>
    <row r="31" customFormat="false" ht="23.85" hidden="false" customHeight="false" outlineLevel="0" collapsed="false">
      <c r="A31" s="7" t="s">
        <v>356</v>
      </c>
      <c r="B31" s="7" t="s">
        <v>1069</v>
      </c>
      <c r="C31" s="7" t="s">
        <v>214</v>
      </c>
      <c r="D31" s="7" t="s">
        <v>311</v>
      </c>
      <c r="E31" s="7"/>
      <c r="F31" s="7"/>
      <c r="G31" s="7"/>
      <c r="H31" s="7" t="s">
        <v>357</v>
      </c>
      <c r="I31" s="7" t="s">
        <v>358</v>
      </c>
      <c r="J31" s="10"/>
      <c r="K31" s="10"/>
    </row>
    <row r="32" customFormat="false" ht="46.25" hidden="false" customHeight="false" outlineLevel="0" collapsed="false">
      <c r="A32" s="7" t="s">
        <v>224</v>
      </c>
      <c r="B32" s="7" t="s">
        <v>1069</v>
      </c>
      <c r="C32" s="7" t="s">
        <v>214</v>
      </c>
      <c r="D32" s="7" t="s">
        <v>225</v>
      </c>
      <c r="E32" s="7"/>
      <c r="F32" s="7"/>
      <c r="G32" s="7"/>
      <c r="H32" s="7" t="s">
        <v>226</v>
      </c>
      <c r="I32" s="7" t="s">
        <v>1133</v>
      </c>
      <c r="J32" s="10"/>
      <c r="K32" s="10"/>
    </row>
    <row r="33" customFormat="false" ht="23.85" hidden="false" customHeight="false" outlineLevel="0" collapsed="false">
      <c r="A33" s="7" t="s">
        <v>359</v>
      </c>
      <c r="B33" s="7" t="s">
        <v>1069</v>
      </c>
      <c r="C33" s="7" t="s">
        <v>214</v>
      </c>
      <c r="D33" s="7" t="s">
        <v>336</v>
      </c>
      <c r="E33" s="7"/>
      <c r="F33" s="7"/>
      <c r="G33" s="7"/>
      <c r="H33" s="7" t="s">
        <v>357</v>
      </c>
      <c r="I33" s="7" t="s">
        <v>358</v>
      </c>
      <c r="J33" s="10"/>
      <c r="K33" s="10"/>
    </row>
    <row r="34" customFormat="false" ht="46.25" hidden="false" customHeight="false" outlineLevel="0" collapsed="false">
      <c r="A34" s="7" t="s">
        <v>280</v>
      </c>
      <c r="B34" s="7" t="s">
        <v>1069</v>
      </c>
      <c r="C34" s="7" t="s">
        <v>214</v>
      </c>
      <c r="D34" s="7" t="s">
        <v>281</v>
      </c>
      <c r="E34" s="7"/>
      <c r="F34" s="7"/>
      <c r="G34" s="7"/>
      <c r="H34" s="7" t="s">
        <v>226</v>
      </c>
      <c r="I34" s="7" t="s">
        <v>1134</v>
      </c>
      <c r="J34" s="10"/>
      <c r="K34" s="10"/>
    </row>
    <row r="35" customFormat="false" ht="23.85" hidden="false" customHeight="false" outlineLevel="0" collapsed="false">
      <c r="A35" s="7" t="s">
        <v>360</v>
      </c>
      <c r="B35" s="7" t="s">
        <v>1069</v>
      </c>
      <c r="C35" s="7" t="s">
        <v>214</v>
      </c>
      <c r="D35" s="7" t="s">
        <v>253</v>
      </c>
      <c r="E35" s="7"/>
      <c r="F35" s="7"/>
      <c r="G35" s="7"/>
      <c r="H35" s="7" t="s">
        <v>361</v>
      </c>
      <c r="I35" s="7" t="s">
        <v>362</v>
      </c>
      <c r="J35" s="10"/>
      <c r="K35" s="10"/>
    </row>
    <row r="36" customFormat="false" ht="46.25" hidden="false" customHeight="false" outlineLevel="0" collapsed="false">
      <c r="A36" s="7" t="s">
        <v>228</v>
      </c>
      <c r="B36" s="7" t="s">
        <v>1069</v>
      </c>
      <c r="C36" s="7" t="s">
        <v>214</v>
      </c>
      <c r="D36" s="7" t="s">
        <v>229</v>
      </c>
      <c r="E36" s="7"/>
      <c r="F36" s="7"/>
      <c r="G36" s="7"/>
      <c r="H36" s="7" t="s">
        <v>230</v>
      </c>
      <c r="I36" s="7" t="s">
        <v>1135</v>
      </c>
      <c r="J36" s="10"/>
      <c r="K36" s="10"/>
    </row>
    <row r="37" customFormat="false" ht="23.85" hidden="false" customHeight="false" outlineLevel="0" collapsed="false">
      <c r="A37" s="7" t="s">
        <v>363</v>
      </c>
      <c r="B37" s="7" t="s">
        <v>1069</v>
      </c>
      <c r="C37" s="7" t="s">
        <v>156</v>
      </c>
      <c r="D37" s="7" t="s">
        <v>157</v>
      </c>
      <c r="E37" s="7"/>
      <c r="F37" s="7"/>
      <c r="G37" s="7"/>
      <c r="H37" s="7" t="s">
        <v>364</v>
      </c>
      <c r="I37" s="7" t="s">
        <v>365</v>
      </c>
      <c r="J37" s="10"/>
      <c r="K37" s="10"/>
    </row>
    <row r="38" customFormat="false" ht="35.05" hidden="false" customHeight="false" outlineLevel="0" collapsed="false">
      <c r="A38" s="7" t="s">
        <v>366</v>
      </c>
      <c r="B38" s="7" t="s">
        <v>1069</v>
      </c>
      <c r="C38" s="7" t="s">
        <v>214</v>
      </c>
      <c r="D38" s="7" t="s">
        <v>229</v>
      </c>
      <c r="E38" s="7"/>
      <c r="F38" s="7"/>
      <c r="G38" s="7"/>
      <c r="H38" s="7" t="s">
        <v>230</v>
      </c>
      <c r="I38" s="7" t="s">
        <v>367</v>
      </c>
      <c r="J38" s="10"/>
      <c r="K38" s="10"/>
    </row>
    <row r="39" customFormat="false" ht="46.25" hidden="false" customHeight="false" outlineLevel="0" collapsed="false">
      <c r="A39" s="7" t="s">
        <v>232</v>
      </c>
      <c r="B39" s="7" t="s">
        <v>1069</v>
      </c>
      <c r="C39" s="7" t="s">
        <v>214</v>
      </c>
      <c r="D39" s="7" t="s">
        <v>233</v>
      </c>
      <c r="E39" s="7"/>
      <c r="F39" s="7"/>
      <c r="G39" s="7"/>
      <c r="H39" s="7" t="s">
        <v>226</v>
      </c>
      <c r="I39" s="7" t="s">
        <v>1136</v>
      </c>
      <c r="J39" s="10"/>
      <c r="K39" s="10"/>
    </row>
    <row r="40" customFormat="false" ht="46.25" hidden="false" customHeight="false" outlineLevel="0" collapsed="false">
      <c r="A40" s="7" t="s">
        <v>368</v>
      </c>
      <c r="B40" s="7" t="s">
        <v>1069</v>
      </c>
      <c r="C40" s="7" t="s">
        <v>220</v>
      </c>
      <c r="D40" s="7" t="s">
        <v>369</v>
      </c>
      <c r="E40" s="7"/>
      <c r="F40" s="7"/>
      <c r="G40" s="7"/>
      <c r="H40" s="7" t="s">
        <v>246</v>
      </c>
      <c r="I40" s="7" t="s">
        <v>1137</v>
      </c>
      <c r="J40" s="10"/>
      <c r="K40" s="10"/>
    </row>
    <row r="41" customFormat="false" ht="46.25" hidden="false" customHeight="false" outlineLevel="0" collapsed="false">
      <c r="A41" s="7" t="s">
        <v>371</v>
      </c>
      <c r="B41" s="7" t="s">
        <v>1069</v>
      </c>
      <c r="C41" s="7" t="s">
        <v>214</v>
      </c>
      <c r="D41" s="7" t="s">
        <v>353</v>
      </c>
      <c r="E41" s="7"/>
      <c r="F41" s="7"/>
      <c r="G41" s="7"/>
      <c r="H41" s="7" t="s">
        <v>246</v>
      </c>
      <c r="I41" s="7" t="s">
        <v>372</v>
      </c>
      <c r="J41" s="10"/>
      <c r="K41" s="10"/>
    </row>
    <row r="42" customFormat="false" ht="46.25" hidden="false" customHeight="false" outlineLevel="0" collapsed="false">
      <c r="A42" s="7" t="s">
        <v>373</v>
      </c>
      <c r="B42" s="7" t="s">
        <v>1069</v>
      </c>
      <c r="C42" s="7" t="s">
        <v>214</v>
      </c>
      <c r="D42" s="7" t="s">
        <v>353</v>
      </c>
      <c r="E42" s="7"/>
      <c r="F42" s="7"/>
      <c r="G42" s="7"/>
      <c r="H42" s="7" t="s">
        <v>246</v>
      </c>
      <c r="I42" s="7" t="s">
        <v>374</v>
      </c>
      <c r="J42" s="10"/>
      <c r="K42" s="10"/>
    </row>
    <row r="43" customFormat="false" ht="46.25" hidden="false" customHeight="false" outlineLevel="0" collapsed="false">
      <c r="A43" s="7" t="s">
        <v>375</v>
      </c>
      <c r="B43" s="7" t="s">
        <v>1069</v>
      </c>
      <c r="C43" s="7" t="s">
        <v>214</v>
      </c>
      <c r="D43" s="7" t="s">
        <v>353</v>
      </c>
      <c r="E43" s="7"/>
      <c r="F43" s="7"/>
      <c r="G43" s="7"/>
      <c r="H43" s="7" t="s">
        <v>246</v>
      </c>
      <c r="I43" s="7" t="s">
        <v>1138</v>
      </c>
      <c r="J43" s="10"/>
      <c r="K43" s="10"/>
    </row>
    <row r="44" customFormat="false" ht="46.25" hidden="false" customHeight="false" outlineLevel="0" collapsed="false">
      <c r="A44" s="7" t="s">
        <v>235</v>
      </c>
      <c r="B44" s="7" t="s">
        <v>1069</v>
      </c>
      <c r="C44" s="7" t="s">
        <v>214</v>
      </c>
      <c r="D44" s="7" t="s">
        <v>236</v>
      </c>
      <c r="E44" s="7"/>
      <c r="F44" s="7"/>
      <c r="G44" s="7"/>
      <c r="H44" s="7" t="s">
        <v>226</v>
      </c>
      <c r="I44" s="7" t="s">
        <v>1139</v>
      </c>
      <c r="J44" s="10"/>
      <c r="K44" s="10"/>
    </row>
    <row r="45" customFormat="false" ht="46.25" hidden="false" customHeight="false" outlineLevel="0" collapsed="false">
      <c r="A45" s="7" t="s">
        <v>238</v>
      </c>
      <c r="B45" s="7" t="s">
        <v>1069</v>
      </c>
      <c r="C45" s="7" t="s">
        <v>214</v>
      </c>
      <c r="D45" s="7" t="s">
        <v>239</v>
      </c>
      <c r="E45" s="7"/>
      <c r="F45" s="7"/>
      <c r="G45" s="7"/>
      <c r="H45" s="7" t="s">
        <v>226</v>
      </c>
      <c r="I45" s="7" t="s">
        <v>1140</v>
      </c>
      <c r="J45" s="10"/>
      <c r="K45" s="10"/>
    </row>
    <row r="46" customFormat="false" ht="46.25" hidden="false" customHeight="false" outlineLevel="0" collapsed="false">
      <c r="A46" s="7" t="s">
        <v>241</v>
      </c>
      <c r="B46" s="7" t="s">
        <v>1069</v>
      </c>
      <c r="C46" s="7" t="s">
        <v>214</v>
      </c>
      <c r="D46" s="7" t="s">
        <v>239</v>
      </c>
      <c r="E46" s="7"/>
      <c r="F46" s="7"/>
      <c r="G46" s="7"/>
      <c r="H46" s="7" t="s">
        <v>226</v>
      </c>
      <c r="I46" s="7" t="s">
        <v>1141</v>
      </c>
      <c r="J46" s="10"/>
      <c r="K46" s="10"/>
    </row>
    <row r="47" customFormat="false" ht="46.25" hidden="false" customHeight="false" outlineLevel="0" collapsed="false">
      <c r="A47" s="7" t="s">
        <v>243</v>
      </c>
      <c r="B47" s="7" t="s">
        <v>1069</v>
      </c>
      <c r="C47" s="7" t="s">
        <v>214</v>
      </c>
      <c r="D47" s="7" t="s">
        <v>239</v>
      </c>
      <c r="E47" s="7"/>
      <c r="F47" s="7"/>
      <c r="G47" s="7"/>
      <c r="H47" s="7" t="s">
        <v>226</v>
      </c>
      <c r="I47" s="7" t="s">
        <v>1141</v>
      </c>
      <c r="J47" s="10"/>
      <c r="K47" s="10"/>
    </row>
    <row r="48" customFormat="false" ht="46.25" hidden="false" customHeight="false" outlineLevel="0" collapsed="false">
      <c r="A48" s="7" t="s">
        <v>377</v>
      </c>
      <c r="B48" s="7" t="s">
        <v>1069</v>
      </c>
      <c r="C48" s="7" t="s">
        <v>220</v>
      </c>
      <c r="D48" s="7" t="s">
        <v>245</v>
      </c>
      <c r="E48" s="7"/>
      <c r="F48" s="7"/>
      <c r="G48" s="7"/>
      <c r="H48" s="7" t="s">
        <v>354</v>
      </c>
      <c r="I48" s="7" t="s">
        <v>1142</v>
      </c>
      <c r="J48" s="10"/>
      <c r="K48" s="10"/>
    </row>
    <row r="49" customFormat="false" ht="35.05" hidden="false" customHeight="false" outlineLevel="0" collapsed="false">
      <c r="A49" s="7" t="s">
        <v>379</v>
      </c>
      <c r="B49" s="7" t="s">
        <v>1069</v>
      </c>
      <c r="C49" s="7" t="s">
        <v>220</v>
      </c>
      <c r="D49" s="7" t="s">
        <v>245</v>
      </c>
      <c r="E49" s="7"/>
      <c r="F49" s="7"/>
      <c r="G49" s="7"/>
      <c r="H49" s="7" t="s">
        <v>354</v>
      </c>
      <c r="I49" s="7" t="s">
        <v>380</v>
      </c>
      <c r="J49" s="10"/>
      <c r="K49" s="10"/>
    </row>
    <row r="50" customFormat="false" ht="46.25" hidden="false" customHeight="false" outlineLevel="0" collapsed="false">
      <c r="A50" s="7" t="s">
        <v>244</v>
      </c>
      <c r="B50" s="7" t="s">
        <v>1069</v>
      </c>
      <c r="C50" s="7" t="s">
        <v>220</v>
      </c>
      <c r="D50" s="7" t="s">
        <v>245</v>
      </c>
      <c r="E50" s="7"/>
      <c r="F50" s="7"/>
      <c r="G50" s="7"/>
      <c r="H50" s="7" t="s">
        <v>246</v>
      </c>
      <c r="I50" s="7" t="s">
        <v>1143</v>
      </c>
      <c r="J50" s="10"/>
      <c r="K50" s="10"/>
    </row>
    <row r="51" customFormat="false" ht="46.25" hidden="false" customHeight="false" outlineLevel="0" collapsed="false">
      <c r="A51" s="7" t="s">
        <v>248</v>
      </c>
      <c r="B51" s="7" t="s">
        <v>1069</v>
      </c>
      <c r="C51" s="7" t="s">
        <v>214</v>
      </c>
      <c r="D51" s="7" t="s">
        <v>236</v>
      </c>
      <c r="E51" s="7"/>
      <c r="F51" s="7"/>
      <c r="G51" s="7"/>
      <c r="H51" s="7" t="s">
        <v>226</v>
      </c>
      <c r="I51" s="7" t="s">
        <v>1141</v>
      </c>
      <c r="J51" s="10"/>
      <c r="K51" s="10"/>
    </row>
    <row r="52" customFormat="false" ht="46.25" hidden="false" customHeight="false" outlineLevel="0" collapsed="false">
      <c r="A52" s="7" t="s">
        <v>250</v>
      </c>
      <c r="B52" s="7" t="s">
        <v>1069</v>
      </c>
      <c r="C52" s="7" t="s">
        <v>214</v>
      </c>
      <c r="D52" s="7" t="s">
        <v>239</v>
      </c>
      <c r="E52" s="7"/>
      <c r="F52" s="7"/>
      <c r="G52" s="7"/>
      <c r="H52" s="7" t="s">
        <v>226</v>
      </c>
      <c r="I52" s="7" t="s">
        <v>1141</v>
      </c>
      <c r="J52" s="10"/>
      <c r="K52" s="10"/>
    </row>
    <row r="53" customFormat="false" ht="46.25" hidden="false" customHeight="false" outlineLevel="0" collapsed="false">
      <c r="A53" s="7" t="s">
        <v>381</v>
      </c>
      <c r="B53" s="7" t="s">
        <v>1069</v>
      </c>
      <c r="C53" s="7" t="s">
        <v>214</v>
      </c>
      <c r="D53" s="7" t="s">
        <v>229</v>
      </c>
      <c r="E53" s="7"/>
      <c r="F53" s="7"/>
      <c r="G53" s="7"/>
      <c r="H53" s="7" t="s">
        <v>230</v>
      </c>
      <c r="I53" s="7" t="s">
        <v>382</v>
      </c>
      <c r="J53" s="10"/>
      <c r="K53" s="10"/>
    </row>
    <row r="54" customFormat="false" ht="46.25" hidden="false" customHeight="false" outlineLevel="0" collapsed="false">
      <c r="A54" s="7" t="s">
        <v>251</v>
      </c>
      <c r="B54" s="7" t="s">
        <v>1069</v>
      </c>
      <c r="C54" s="7" t="s">
        <v>214</v>
      </c>
      <c r="D54" s="7" t="s">
        <v>239</v>
      </c>
      <c r="E54" s="7"/>
      <c r="F54" s="7"/>
      <c r="G54" s="7"/>
      <c r="H54" s="7" t="s">
        <v>226</v>
      </c>
      <c r="I54" s="7" t="s">
        <v>1140</v>
      </c>
      <c r="J54" s="10"/>
      <c r="K54" s="10"/>
    </row>
    <row r="55" customFormat="false" ht="46.25" hidden="false" customHeight="false" outlineLevel="0" collapsed="false">
      <c r="A55" s="7" t="s">
        <v>252</v>
      </c>
      <c r="B55" s="7" t="s">
        <v>1069</v>
      </c>
      <c r="C55" s="7" t="s">
        <v>214</v>
      </c>
      <c r="D55" s="7" t="s">
        <v>253</v>
      </c>
      <c r="E55" s="7"/>
      <c r="F55" s="7"/>
      <c r="G55" s="7"/>
      <c r="H55" s="7" t="s">
        <v>226</v>
      </c>
      <c r="I55" s="7" t="s">
        <v>1140</v>
      </c>
      <c r="J55" s="10"/>
      <c r="K55" s="10"/>
    </row>
    <row r="56" customFormat="false" ht="46.25" hidden="false" customHeight="false" outlineLevel="0" collapsed="false">
      <c r="A56" s="7" t="s">
        <v>255</v>
      </c>
      <c r="B56" s="7" t="s">
        <v>1069</v>
      </c>
      <c r="C56" s="7" t="s">
        <v>214</v>
      </c>
      <c r="D56" s="7" t="s">
        <v>239</v>
      </c>
      <c r="E56" s="7"/>
      <c r="F56" s="7"/>
      <c r="G56" s="7"/>
      <c r="H56" s="7" t="s">
        <v>226</v>
      </c>
      <c r="I56" s="7" t="s">
        <v>1141</v>
      </c>
      <c r="J56" s="10"/>
      <c r="K56" s="10"/>
    </row>
    <row r="57" customFormat="false" ht="46.25" hidden="false" customHeight="false" outlineLevel="0" collapsed="false">
      <c r="A57" s="7" t="s">
        <v>257</v>
      </c>
      <c r="B57" s="7" t="s">
        <v>1069</v>
      </c>
      <c r="C57" s="7" t="s">
        <v>214</v>
      </c>
      <c r="D57" s="7" t="s">
        <v>258</v>
      </c>
      <c r="E57" s="7"/>
      <c r="F57" s="7"/>
      <c r="G57" s="7"/>
      <c r="H57" s="7" t="s">
        <v>259</v>
      </c>
      <c r="I57" s="7" t="s">
        <v>1144</v>
      </c>
      <c r="J57" s="10"/>
      <c r="K57" s="10"/>
    </row>
    <row r="58" customFormat="false" ht="46.25" hidden="false" customHeight="false" outlineLevel="0" collapsed="false">
      <c r="A58" s="7" t="s">
        <v>383</v>
      </c>
      <c r="B58" s="7" t="s">
        <v>1069</v>
      </c>
      <c r="C58" s="7" t="s">
        <v>214</v>
      </c>
      <c r="D58" s="7" t="s">
        <v>253</v>
      </c>
      <c r="E58" s="7"/>
      <c r="F58" s="7"/>
      <c r="G58" s="7"/>
      <c r="H58" s="7" t="s">
        <v>226</v>
      </c>
      <c r="I58" s="7" t="s">
        <v>1145</v>
      </c>
      <c r="J58" s="10"/>
      <c r="K58" s="10"/>
    </row>
    <row r="59" customFormat="false" ht="46.25" hidden="false" customHeight="false" outlineLevel="0" collapsed="false">
      <c r="A59" s="7" t="s">
        <v>261</v>
      </c>
      <c r="B59" s="7" t="s">
        <v>1069</v>
      </c>
      <c r="C59" s="7" t="s">
        <v>214</v>
      </c>
      <c r="D59" s="7" t="s">
        <v>215</v>
      </c>
      <c r="E59" s="7"/>
      <c r="F59" s="7"/>
      <c r="G59" s="7"/>
      <c r="H59" s="7" t="s">
        <v>226</v>
      </c>
      <c r="I59" s="7" t="s">
        <v>1140</v>
      </c>
      <c r="J59" s="10"/>
      <c r="K59" s="10"/>
    </row>
    <row r="60" customFormat="false" ht="46.25" hidden="false" customHeight="false" outlineLevel="0" collapsed="false">
      <c r="A60" s="7" t="s">
        <v>263</v>
      </c>
      <c r="B60" s="7" t="s">
        <v>1069</v>
      </c>
      <c r="C60" s="7" t="s">
        <v>214</v>
      </c>
      <c r="D60" s="7" t="s">
        <v>215</v>
      </c>
      <c r="E60" s="7"/>
      <c r="F60" s="7"/>
      <c r="G60" s="7"/>
      <c r="H60" s="7" t="s">
        <v>226</v>
      </c>
      <c r="I60" s="7" t="s">
        <v>1140</v>
      </c>
      <c r="J60" s="10"/>
      <c r="K60" s="10"/>
    </row>
    <row r="61" customFormat="false" ht="46.25" hidden="false" customHeight="false" outlineLevel="0" collapsed="false">
      <c r="A61" s="7" t="s">
        <v>385</v>
      </c>
      <c r="B61" s="7" t="s">
        <v>1069</v>
      </c>
      <c r="C61" s="7" t="s">
        <v>220</v>
      </c>
      <c r="D61" s="7" t="s">
        <v>245</v>
      </c>
      <c r="E61" s="7"/>
      <c r="F61" s="7"/>
      <c r="G61" s="7"/>
      <c r="H61" s="7" t="s">
        <v>246</v>
      </c>
      <c r="I61" s="7" t="s">
        <v>1146</v>
      </c>
      <c r="J61" s="10"/>
      <c r="K61" s="10"/>
    </row>
    <row r="62" customFormat="false" ht="46.25" hidden="false" customHeight="false" outlineLevel="0" collapsed="false">
      <c r="A62" s="7" t="s">
        <v>264</v>
      </c>
      <c r="B62" s="7" t="s">
        <v>1069</v>
      </c>
      <c r="C62" s="7" t="s">
        <v>214</v>
      </c>
      <c r="D62" s="7" t="s">
        <v>265</v>
      </c>
      <c r="E62" s="7"/>
      <c r="F62" s="7"/>
      <c r="G62" s="7"/>
      <c r="H62" s="7" t="s">
        <v>259</v>
      </c>
      <c r="I62" s="7" t="s">
        <v>1144</v>
      </c>
      <c r="J62" s="10"/>
      <c r="K62" s="10"/>
    </row>
    <row r="63" customFormat="false" ht="35.05" hidden="false" customHeight="false" outlineLevel="0" collapsed="false">
      <c r="A63" s="7" t="s">
        <v>267</v>
      </c>
      <c r="B63" s="7" t="s">
        <v>1069</v>
      </c>
      <c r="C63" s="7" t="s">
        <v>214</v>
      </c>
      <c r="D63" s="7" t="s">
        <v>239</v>
      </c>
      <c r="E63" s="7"/>
      <c r="F63" s="7"/>
      <c r="G63" s="7"/>
      <c r="H63" s="7" t="s">
        <v>259</v>
      </c>
      <c r="I63" s="7" t="s">
        <v>1147</v>
      </c>
      <c r="J63" s="10"/>
      <c r="K63" s="10"/>
    </row>
    <row r="64" customFormat="false" ht="46.25" hidden="false" customHeight="false" outlineLevel="0" collapsed="false">
      <c r="A64" s="7" t="s">
        <v>269</v>
      </c>
      <c r="B64" s="7" t="s">
        <v>1069</v>
      </c>
      <c r="C64" s="7" t="s">
        <v>220</v>
      </c>
      <c r="D64" s="7" t="s">
        <v>245</v>
      </c>
      <c r="E64" s="7"/>
      <c r="F64" s="7"/>
      <c r="G64" s="7"/>
      <c r="H64" s="7" t="s">
        <v>246</v>
      </c>
      <c r="I64" s="7" t="s">
        <v>1148</v>
      </c>
      <c r="J64" s="10"/>
      <c r="K64" s="10"/>
    </row>
    <row r="65" customFormat="false" ht="46.25" hidden="false" customHeight="false" outlineLevel="0" collapsed="false">
      <c r="A65" s="7" t="s">
        <v>271</v>
      </c>
      <c r="B65" s="7" t="s">
        <v>1069</v>
      </c>
      <c r="C65" s="7" t="s">
        <v>214</v>
      </c>
      <c r="D65" s="7" t="s">
        <v>272</v>
      </c>
      <c r="E65" s="7"/>
      <c r="F65" s="7"/>
      <c r="G65" s="7"/>
      <c r="H65" s="7" t="s">
        <v>226</v>
      </c>
      <c r="I65" s="7" t="s">
        <v>1149</v>
      </c>
      <c r="J65" s="10"/>
      <c r="K65" s="10"/>
    </row>
    <row r="66" customFormat="false" ht="46.25" hidden="false" customHeight="false" outlineLevel="0" collapsed="false">
      <c r="A66" s="7" t="s">
        <v>274</v>
      </c>
      <c r="B66" s="7" t="s">
        <v>1069</v>
      </c>
      <c r="C66" s="7" t="s">
        <v>214</v>
      </c>
      <c r="D66" s="7" t="s">
        <v>272</v>
      </c>
      <c r="E66" s="7"/>
      <c r="F66" s="7"/>
      <c r="G66" s="7"/>
      <c r="H66" s="7" t="s">
        <v>226</v>
      </c>
      <c r="I66" s="7" t="s">
        <v>1141</v>
      </c>
      <c r="J66" s="10"/>
      <c r="K66" s="10"/>
    </row>
    <row r="67" customFormat="false" ht="35.05" hidden="false" customHeight="false" outlineLevel="0" collapsed="false">
      <c r="A67" s="7" t="s">
        <v>275</v>
      </c>
      <c r="B67" s="7" t="s">
        <v>1069</v>
      </c>
      <c r="C67" s="7" t="s">
        <v>214</v>
      </c>
      <c r="D67" s="7" t="s">
        <v>276</v>
      </c>
      <c r="E67" s="7"/>
      <c r="F67" s="7"/>
      <c r="G67" s="7"/>
      <c r="H67" s="7" t="s">
        <v>259</v>
      </c>
      <c r="I67" s="7" t="s">
        <v>1147</v>
      </c>
      <c r="J67" s="10"/>
      <c r="K67" s="10"/>
    </row>
    <row r="68" customFormat="false" ht="23.85" hidden="false" customHeight="false" outlineLevel="0" collapsed="false">
      <c r="A68" s="7" t="s">
        <v>278</v>
      </c>
      <c r="B68" s="7" t="s">
        <v>1069</v>
      </c>
      <c r="C68" s="7" t="s">
        <v>214</v>
      </c>
      <c r="D68" s="7" t="s">
        <v>276</v>
      </c>
      <c r="E68" s="7"/>
      <c r="F68" s="7"/>
      <c r="G68" s="7"/>
      <c r="H68" s="7" t="s">
        <v>259</v>
      </c>
      <c r="I68" s="7" t="s">
        <v>279</v>
      </c>
      <c r="J68" s="10"/>
      <c r="K68" s="10"/>
    </row>
    <row r="69" customFormat="false" ht="46.25" hidden="false" customHeight="false" outlineLevel="0" collapsed="false">
      <c r="A69" s="7" t="s">
        <v>387</v>
      </c>
      <c r="B69" s="7" t="s">
        <v>1069</v>
      </c>
      <c r="C69" s="7" t="s">
        <v>220</v>
      </c>
      <c r="D69" s="7" t="s">
        <v>245</v>
      </c>
      <c r="E69" s="7"/>
      <c r="F69" s="7"/>
      <c r="G69" s="7"/>
      <c r="H69" s="7" t="s">
        <v>246</v>
      </c>
      <c r="I69" s="7" t="s">
        <v>1150</v>
      </c>
      <c r="J69" s="10"/>
      <c r="K69" s="10"/>
    </row>
    <row r="70" customFormat="false" ht="23.85" hidden="false" customHeight="false" outlineLevel="0" collapsed="false">
      <c r="A70" s="7" t="s">
        <v>1151</v>
      </c>
      <c r="B70" s="7" t="s">
        <v>1152</v>
      </c>
      <c r="C70" s="7" t="s">
        <v>214</v>
      </c>
      <c r="D70" s="7" t="s">
        <v>229</v>
      </c>
      <c r="E70" s="7"/>
      <c r="F70" s="7"/>
      <c r="G70" s="7"/>
      <c r="H70" s="7" t="s">
        <v>296</v>
      </c>
      <c r="I70" s="7" t="s">
        <v>1153</v>
      </c>
      <c r="J70" s="10"/>
      <c r="K70" s="10"/>
    </row>
    <row r="71" customFormat="false" ht="46.25" hidden="false" customHeight="false" outlineLevel="0" collapsed="false">
      <c r="A71" s="7" t="s">
        <v>1154</v>
      </c>
      <c r="B71" s="7" t="s">
        <v>1152</v>
      </c>
      <c r="C71" s="7" t="s">
        <v>214</v>
      </c>
      <c r="D71" s="7" t="s">
        <v>229</v>
      </c>
      <c r="E71" s="7"/>
      <c r="F71" s="7"/>
      <c r="G71" s="7"/>
      <c r="H71" s="7" t="s">
        <v>296</v>
      </c>
      <c r="I71" s="7" t="s">
        <v>1155</v>
      </c>
      <c r="J71" s="10"/>
      <c r="K71" s="10"/>
    </row>
    <row r="72" customFormat="false" ht="46.25" hidden="false" customHeight="false" outlineLevel="0" collapsed="false">
      <c r="A72" s="7" t="s">
        <v>1156</v>
      </c>
      <c r="B72" s="7" t="s">
        <v>1157</v>
      </c>
      <c r="C72" s="7" t="s">
        <v>214</v>
      </c>
      <c r="D72" s="7" t="s">
        <v>1158</v>
      </c>
      <c r="E72" s="7"/>
      <c r="F72" s="7"/>
      <c r="G72" s="7"/>
      <c r="H72" s="7" t="s">
        <v>1159</v>
      </c>
      <c r="I72" s="7" t="s">
        <v>1160</v>
      </c>
      <c r="J72" s="10"/>
      <c r="K72" s="10"/>
    </row>
    <row r="73" customFormat="false" ht="46.25" hidden="false" customHeight="false" outlineLevel="0" collapsed="false">
      <c r="A73" s="7" t="s">
        <v>1161</v>
      </c>
      <c r="B73" s="7" t="s">
        <v>1157</v>
      </c>
      <c r="C73" s="7" t="s">
        <v>156</v>
      </c>
      <c r="D73" s="7" t="s">
        <v>1162</v>
      </c>
      <c r="E73" s="7"/>
      <c r="F73" s="7"/>
      <c r="G73" s="7"/>
      <c r="H73" s="7" t="s">
        <v>1163</v>
      </c>
      <c r="I73" s="7" t="s">
        <v>1164</v>
      </c>
      <c r="J73" s="10"/>
      <c r="K73" s="10"/>
    </row>
    <row r="74" customFormat="false" ht="46.25" hidden="false" customHeight="false" outlineLevel="0" collapsed="false">
      <c r="A74" s="7" t="s">
        <v>1165</v>
      </c>
      <c r="B74" s="7" t="s">
        <v>1157</v>
      </c>
      <c r="C74" s="7" t="s">
        <v>214</v>
      </c>
      <c r="D74" s="7" t="s">
        <v>545</v>
      </c>
      <c r="E74" s="7"/>
      <c r="F74" s="7"/>
      <c r="G74" s="7"/>
      <c r="H74" s="7" t="s">
        <v>1166</v>
      </c>
      <c r="I74" s="7" t="s">
        <v>1167</v>
      </c>
      <c r="J74" s="10"/>
      <c r="K74" s="10"/>
    </row>
    <row r="75" customFormat="false" ht="46.25" hidden="false" customHeight="false" outlineLevel="0" collapsed="false">
      <c r="A75" s="7" t="s">
        <v>1168</v>
      </c>
      <c r="B75" s="7" t="s">
        <v>1157</v>
      </c>
      <c r="C75" s="7" t="s">
        <v>156</v>
      </c>
      <c r="D75" s="7" t="s">
        <v>1162</v>
      </c>
      <c r="E75" s="7"/>
      <c r="F75" s="7"/>
      <c r="G75" s="7"/>
      <c r="H75" s="7" t="s">
        <v>1159</v>
      </c>
      <c r="I75" s="7" t="s">
        <v>1169</v>
      </c>
      <c r="J75" s="10"/>
      <c r="K75" s="10"/>
    </row>
    <row r="76" customFormat="false" ht="46.25" hidden="false" customHeight="false" outlineLevel="0" collapsed="false">
      <c r="A76" s="7" t="s">
        <v>1170</v>
      </c>
      <c r="B76" s="7" t="s">
        <v>1157</v>
      </c>
      <c r="C76" s="7" t="s">
        <v>214</v>
      </c>
      <c r="D76" s="7" t="s">
        <v>1171</v>
      </c>
      <c r="E76" s="7"/>
      <c r="F76" s="7"/>
      <c r="G76" s="7"/>
      <c r="H76" s="7" t="s">
        <v>1159</v>
      </c>
      <c r="I76" s="7" t="s">
        <v>1172</v>
      </c>
      <c r="J76" s="10"/>
      <c r="K76" s="10"/>
    </row>
    <row r="77" customFormat="false" ht="46.25" hidden="false" customHeight="false" outlineLevel="0" collapsed="false">
      <c r="A77" s="7" t="s">
        <v>1173</v>
      </c>
      <c r="B77" s="7" t="s">
        <v>1157</v>
      </c>
      <c r="C77" s="7" t="s">
        <v>214</v>
      </c>
      <c r="D77" s="7" t="s">
        <v>1174</v>
      </c>
      <c r="E77" s="7"/>
      <c r="F77" s="7"/>
      <c r="G77" s="7"/>
      <c r="H77" s="7" t="s">
        <v>1166</v>
      </c>
      <c r="I77" s="7" t="s">
        <v>1175</v>
      </c>
      <c r="J77" s="10"/>
      <c r="K77" s="10"/>
    </row>
    <row r="78" customFormat="false" ht="46.25" hidden="false" customHeight="false" outlineLevel="0" collapsed="false">
      <c r="A78" s="7" t="s">
        <v>1176</v>
      </c>
      <c r="B78" s="7" t="s">
        <v>1157</v>
      </c>
      <c r="C78" s="7" t="s">
        <v>214</v>
      </c>
      <c r="D78" s="7" t="s">
        <v>1177</v>
      </c>
      <c r="E78" s="7"/>
      <c r="F78" s="7"/>
      <c r="G78" s="7"/>
      <c r="H78" s="7" t="s">
        <v>1159</v>
      </c>
      <c r="I78" s="7" t="s">
        <v>1172</v>
      </c>
      <c r="J78" s="10"/>
      <c r="K78" s="10"/>
    </row>
    <row r="79" customFormat="false" ht="46.25" hidden="false" customHeight="false" outlineLevel="0" collapsed="false">
      <c r="A79" s="7" t="s">
        <v>1178</v>
      </c>
      <c r="B79" s="7" t="s">
        <v>1157</v>
      </c>
      <c r="C79" s="7" t="s">
        <v>214</v>
      </c>
      <c r="D79" s="7" t="s">
        <v>1177</v>
      </c>
      <c r="E79" s="7"/>
      <c r="F79" s="7"/>
      <c r="G79" s="7"/>
      <c r="H79" s="7" t="s">
        <v>1179</v>
      </c>
      <c r="I79" s="7" t="s">
        <v>1180</v>
      </c>
      <c r="J79" s="10"/>
      <c r="K79" s="10"/>
    </row>
    <row r="80" customFormat="false" ht="23.85" hidden="false" customHeight="false" outlineLevel="0" collapsed="false">
      <c r="A80" s="7" t="s">
        <v>1181</v>
      </c>
      <c r="B80" s="7" t="s">
        <v>1157</v>
      </c>
      <c r="C80" s="7" t="s">
        <v>214</v>
      </c>
      <c r="D80" s="7" t="s">
        <v>1182</v>
      </c>
      <c r="E80" s="7"/>
      <c r="F80" s="7"/>
      <c r="G80" s="7"/>
      <c r="H80" s="7" t="s">
        <v>357</v>
      </c>
      <c r="I80" s="7" t="s">
        <v>1183</v>
      </c>
      <c r="J80" s="10"/>
      <c r="K80" s="10"/>
    </row>
    <row r="81" customFormat="false" ht="46.25" hidden="false" customHeight="false" outlineLevel="0" collapsed="false">
      <c r="A81" s="7" t="s">
        <v>1184</v>
      </c>
      <c r="B81" s="7" t="s">
        <v>1157</v>
      </c>
      <c r="C81" s="7" t="s">
        <v>214</v>
      </c>
      <c r="D81" s="7" t="s">
        <v>1185</v>
      </c>
      <c r="E81" s="7"/>
      <c r="F81" s="7"/>
      <c r="G81" s="7"/>
      <c r="H81" s="7" t="s">
        <v>1186</v>
      </c>
      <c r="I81" s="7" t="s">
        <v>1180</v>
      </c>
      <c r="J81" s="10"/>
      <c r="K81" s="10"/>
    </row>
    <row r="82" customFormat="false" ht="46.25" hidden="false" customHeight="false" outlineLevel="0" collapsed="false">
      <c r="A82" s="7" t="s">
        <v>1187</v>
      </c>
      <c r="B82" s="7" t="s">
        <v>1157</v>
      </c>
      <c r="C82" s="7" t="s">
        <v>214</v>
      </c>
      <c r="D82" s="7" t="s">
        <v>623</v>
      </c>
      <c r="E82" s="7"/>
      <c r="F82" s="7"/>
      <c r="G82" s="7"/>
      <c r="H82" s="7" t="s">
        <v>1188</v>
      </c>
      <c r="I82" s="7" t="s">
        <v>1172</v>
      </c>
      <c r="J82" s="10"/>
      <c r="K82" s="10"/>
    </row>
    <row r="83" customFormat="false" ht="35.05" hidden="false" customHeight="false" outlineLevel="0" collapsed="false">
      <c r="A83" s="7" t="s">
        <v>1189</v>
      </c>
      <c r="B83" s="7" t="s">
        <v>1157</v>
      </c>
      <c r="C83" s="7" t="s">
        <v>214</v>
      </c>
      <c r="D83" s="7" t="s">
        <v>640</v>
      </c>
      <c r="E83" s="7"/>
      <c r="F83" s="7"/>
      <c r="G83" s="7"/>
      <c r="H83" s="7" t="s">
        <v>1190</v>
      </c>
      <c r="I83" s="7" t="s">
        <v>1191</v>
      </c>
      <c r="J83" s="10"/>
      <c r="K83" s="10"/>
    </row>
    <row r="84" customFormat="false" ht="46.25" hidden="false" customHeight="false" outlineLevel="0" collapsed="false">
      <c r="A84" s="7" t="s">
        <v>1192</v>
      </c>
      <c r="B84" s="7" t="s">
        <v>1157</v>
      </c>
      <c r="C84" s="7" t="s">
        <v>214</v>
      </c>
      <c r="D84" s="7" t="s">
        <v>623</v>
      </c>
      <c r="E84" s="7"/>
      <c r="F84" s="7"/>
      <c r="G84" s="7"/>
      <c r="H84" s="7" t="s">
        <v>1193</v>
      </c>
      <c r="I84" s="7" t="s">
        <v>1194</v>
      </c>
      <c r="J84" s="10"/>
      <c r="K84" s="10"/>
    </row>
    <row r="85" customFormat="false" ht="46.25" hidden="false" customHeight="false" outlineLevel="0" collapsed="false">
      <c r="A85" s="7" t="s">
        <v>1195</v>
      </c>
      <c r="B85" s="7" t="s">
        <v>1157</v>
      </c>
      <c r="C85" s="7" t="s">
        <v>214</v>
      </c>
      <c r="D85" s="7" t="s">
        <v>1196</v>
      </c>
      <c r="E85" s="7"/>
      <c r="F85" s="7"/>
      <c r="G85" s="7"/>
      <c r="H85" s="7" t="s">
        <v>1197</v>
      </c>
      <c r="I85" s="7" t="s">
        <v>1198</v>
      </c>
      <c r="J85" s="10"/>
      <c r="K85" s="10"/>
    </row>
  </sheetData>
  <autoFilter ref="A6:K85"/>
  <mergeCells count="1">
    <mergeCell ref="A4: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60"/>
    <col collapsed="false" customWidth="true" hidden="false" outlineLevel="0" max="3" min="3" style="0" width="30"/>
  </cols>
  <sheetData>
    <row r="1" customFormat="false" ht="17.35" hidden="false" customHeight="false" outlineLevel="0" collapsed="false">
      <c r="A1" s="1" t="s">
        <v>1199</v>
      </c>
    </row>
    <row r="2" customFormat="false" ht="15" hidden="false" customHeight="false" outlineLevel="0" collapsed="false">
      <c r="A2" s="2" t="s">
        <v>1200</v>
      </c>
    </row>
    <row r="4" customFormat="false" ht="15" hidden="false" customHeight="false" outlineLevel="0" collapsed="false">
      <c r="A4" s="15" t="s">
        <v>1201</v>
      </c>
      <c r="B4" s="17" t="n">
        <v>2500</v>
      </c>
    </row>
    <row r="5" customFormat="false" ht="15" hidden="false" customHeight="false" outlineLevel="0" collapsed="false">
      <c r="A5" s="15" t="s">
        <v>1202</v>
      </c>
      <c r="B5" s="17" t="s">
        <v>1203</v>
      </c>
    </row>
    <row r="6" customFormat="false" ht="15" hidden="false" customHeight="false" outlineLevel="0" collapsed="false">
      <c r="A6" s="15" t="s">
        <v>1204</v>
      </c>
      <c r="B6" s="17" t="s">
        <v>1205</v>
      </c>
    </row>
    <row r="7" customFormat="false" ht="15" hidden="false" customHeight="false" outlineLevel="0" collapsed="false">
      <c r="A7" s="15" t="s">
        <v>1206</v>
      </c>
      <c r="B7" s="17" t="s">
        <v>1207</v>
      </c>
    </row>
    <row r="8" customFormat="false" ht="15" hidden="false" customHeight="false" outlineLevel="0" collapsed="false">
      <c r="A8" s="15" t="s">
        <v>1208</v>
      </c>
      <c r="B8" s="17" t="s">
        <v>1209</v>
      </c>
    </row>
    <row r="9" customFormat="false" ht="15" hidden="false" customHeight="false" outlineLevel="0" collapsed="false">
      <c r="A9" s="15" t="s">
        <v>1210</v>
      </c>
      <c r="B9" s="17" t="s">
        <v>1211</v>
      </c>
    </row>
    <row r="10" customFormat="false" ht="15" hidden="false" customHeight="false" outlineLevel="0" collapsed="false">
      <c r="A10" s="15" t="s">
        <v>1212</v>
      </c>
      <c r="B10" s="17" t="s">
        <v>1213</v>
      </c>
    </row>
    <row r="11" customFormat="false" ht="15" hidden="false" customHeight="false" outlineLevel="0" collapsed="false">
      <c r="A11" s="15" t="s">
        <v>1214</v>
      </c>
      <c r="B11" s="17" t="s">
        <v>1215</v>
      </c>
    </row>
    <row r="13" customFormat="false" ht="15" hidden="false" customHeight="false" outlineLevel="0" collapsed="false">
      <c r="A13" s="27" t="s">
        <v>1216</v>
      </c>
      <c r="B13" s="27"/>
      <c r="C13" s="27"/>
    </row>
    <row r="14" customFormat="false" ht="15" hidden="false" customHeight="false" outlineLevel="0" collapsed="false">
      <c r="A14" s="28" t="s">
        <v>1217</v>
      </c>
      <c r="B14" s="28"/>
      <c r="C14" s="28"/>
    </row>
    <row r="15" customFormat="false" ht="15" hidden="false" customHeight="false" outlineLevel="0" collapsed="false">
      <c r="A15" s="28" t="s">
        <v>1218</v>
      </c>
      <c r="B15" s="28"/>
      <c r="C15" s="28"/>
    </row>
    <row r="16" customFormat="false" ht="15" hidden="false" customHeight="false" outlineLevel="0" collapsed="false">
      <c r="A16" s="28" t="s">
        <v>1219</v>
      </c>
      <c r="B16" s="28"/>
      <c r="C16" s="28"/>
    </row>
    <row r="18" customFormat="false" ht="15" hidden="false" customHeight="false" outlineLevel="0" collapsed="false">
      <c r="A18" s="26" t="s">
        <v>20</v>
      </c>
      <c r="B18" s="26" t="s">
        <v>1220</v>
      </c>
      <c r="C18" s="26" t="s">
        <v>1221</v>
      </c>
    </row>
    <row r="19" customFormat="false" ht="15" hidden="false" customHeight="false" outlineLevel="0" collapsed="false">
      <c r="A19" s="17" t="s">
        <v>1222</v>
      </c>
      <c r="B19" s="29"/>
      <c r="C19" s="29"/>
    </row>
    <row r="20" customFormat="false" ht="15" hidden="false" customHeight="false" outlineLevel="0" collapsed="false">
      <c r="A20" s="17" t="s">
        <v>1223</v>
      </c>
      <c r="B20" s="29"/>
      <c r="C20" s="29"/>
    </row>
    <row r="21" customFormat="false" ht="15" hidden="false" customHeight="false" outlineLevel="0" collapsed="false">
      <c r="A21" s="17" t="s">
        <v>1224</v>
      </c>
      <c r="B21" s="29"/>
      <c r="C21" s="29"/>
    </row>
    <row r="23" customFormat="false" ht="15" hidden="false" customHeight="false" outlineLevel="0" collapsed="false">
      <c r="A23" s="15" t="s">
        <v>1225</v>
      </c>
    </row>
    <row r="24" customFormat="false" ht="15" hidden="false" customHeight="false" outlineLevel="0" collapsed="false">
      <c r="A24" s="17" t="s">
        <v>1226</v>
      </c>
      <c r="B24" s="17" t="n">
        <v>9</v>
      </c>
    </row>
    <row r="25" customFormat="false" ht="15" hidden="false" customHeight="false" outlineLevel="0" collapsed="false">
      <c r="A25" s="17" t="s">
        <v>1227</v>
      </c>
      <c r="B25" s="17" t="n">
        <v>26</v>
      </c>
    </row>
    <row r="26" customFormat="false" ht="15" hidden="false" customHeight="false" outlineLevel="0" collapsed="false">
      <c r="A26" s="17" t="s">
        <v>457</v>
      </c>
      <c r="B26" s="17" t="n">
        <v>14</v>
      </c>
    </row>
    <row r="27" customFormat="false" ht="15" hidden="false" customHeight="false" outlineLevel="0" collapsed="false">
      <c r="A27" s="17" t="s">
        <v>792</v>
      </c>
      <c r="B27" s="17" t="n">
        <v>18</v>
      </c>
    </row>
    <row r="28" customFormat="false" ht="15" hidden="false" customHeight="false" outlineLevel="0" collapsed="false">
      <c r="A28" s="17" t="s">
        <v>1228</v>
      </c>
      <c r="B28" s="17" t="n">
        <v>10</v>
      </c>
    </row>
    <row r="29" customFormat="false" ht="15" hidden="false" customHeight="false" outlineLevel="0" collapsed="false">
      <c r="A29" s="17" t="s">
        <v>1229</v>
      </c>
      <c r="B29" s="17" t="n">
        <v>28</v>
      </c>
    </row>
    <row r="30" customFormat="false" ht="15" hidden="false" customHeight="false" outlineLevel="0" collapsed="false">
      <c r="A30" s="17" t="s">
        <v>796</v>
      </c>
      <c r="B30" s="17" t="n">
        <v>19</v>
      </c>
    </row>
    <row r="31" customFormat="false" ht="15" hidden="false" customHeight="false" outlineLevel="0" collapsed="false">
      <c r="A31" s="17" t="s">
        <v>1230</v>
      </c>
      <c r="B31" s="17" t="n">
        <v>38</v>
      </c>
    </row>
    <row r="32" customFormat="false" ht="15" hidden="false" customHeight="false" outlineLevel="0" collapsed="false">
      <c r="A32" s="17" t="s">
        <v>1231</v>
      </c>
      <c r="B32" s="17" t="n">
        <v>18</v>
      </c>
    </row>
    <row r="33" customFormat="false" ht="15" hidden="false" customHeight="false" outlineLevel="0" collapsed="false">
      <c r="A33" s="17" t="s">
        <v>1232</v>
      </c>
      <c r="B33" s="17" t="n">
        <v>5</v>
      </c>
    </row>
    <row r="35" customFormat="false" ht="15" hidden="false" customHeight="false" outlineLevel="0" collapsed="false">
      <c r="A35" s="2" t="s">
        <v>1233</v>
      </c>
    </row>
  </sheetData>
  <mergeCells count="4">
    <mergeCell ref="A13:C13"/>
    <mergeCell ref="A14:C14"/>
    <mergeCell ref="A15:C15"/>
    <mergeCell ref="A16:C16"/>
  </mergeCells>
  <dataValidations count="1">
    <dataValidation allowBlank="true" errorStyle="stop" operator="between" showDropDown="false" showErrorMessage="false" showInputMessage="false" sqref="C19:C2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L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9"/>
    <col collapsed="false" customWidth="true" hidden="false" outlineLevel="0" max="4" min="4" style="0" width="13"/>
    <col collapsed="false" customWidth="true" hidden="false" outlineLevel="0" max="5" min="5" style="0" width="14"/>
    <col collapsed="false" customWidth="true" hidden="false" outlineLevel="0" max="6" min="6" style="0" width="12"/>
    <col collapsed="false" customWidth="true" hidden="false" outlineLevel="0" max="7" min="7" style="0" width="9"/>
    <col collapsed="false" customWidth="true" hidden="false" outlineLevel="0" max="8" min="8" style="0" width="60"/>
    <col collapsed="false" customWidth="true" hidden="false" outlineLevel="0" max="9" min="9" style="0" width="40"/>
    <col collapsed="false" customWidth="true" hidden="false" outlineLevel="0" max="10" min="10" style="0" width="12"/>
    <col collapsed="false" customWidth="true" hidden="false" outlineLevel="0" max="11" min="11" style="0" width="10"/>
    <col collapsed="false" customWidth="true" hidden="false" outlineLevel="0" max="12" min="12" style="0" width="25"/>
  </cols>
  <sheetData>
    <row r="1" customFormat="false" ht="17.35" hidden="false" customHeight="false" outlineLevel="0" collapsed="false">
      <c r="A1" s="1" t="s">
        <v>1234</v>
      </c>
    </row>
    <row r="2" customFormat="false" ht="15" hidden="false" customHeight="false" outlineLevel="0" collapsed="false">
      <c r="A2" s="2" t="s">
        <v>1235</v>
      </c>
    </row>
    <row r="4" customFormat="false" ht="30" hidden="false" customHeight="true" outlineLevel="0" collapsed="false">
      <c r="A4" s="5" t="s">
        <v>1236</v>
      </c>
      <c r="B4" s="5"/>
      <c r="C4" s="5"/>
      <c r="D4" s="5"/>
      <c r="E4" s="5"/>
      <c r="F4" s="5"/>
      <c r="G4" s="5"/>
      <c r="H4" s="5"/>
      <c r="I4" s="5"/>
      <c r="J4" s="5"/>
      <c r="K4" s="5"/>
      <c r="L4" s="5"/>
    </row>
    <row r="6" customFormat="false" ht="30" hidden="false" customHeight="true" outlineLevel="0" collapsed="false">
      <c r="A6" s="6" t="s">
        <v>760</v>
      </c>
      <c r="B6" s="6" t="s">
        <v>761</v>
      </c>
      <c r="C6" s="6" t="s">
        <v>1237</v>
      </c>
      <c r="D6" s="6" t="s">
        <v>762</v>
      </c>
      <c r="E6" s="6" t="s">
        <v>831</v>
      </c>
      <c r="F6" s="6" t="s">
        <v>1238</v>
      </c>
      <c r="G6" s="6" t="s">
        <v>763</v>
      </c>
      <c r="H6" s="6" t="s">
        <v>764</v>
      </c>
      <c r="I6" s="6" t="s">
        <v>1239</v>
      </c>
      <c r="J6" s="6" t="s">
        <v>1240</v>
      </c>
      <c r="K6" s="6" t="s">
        <v>1241</v>
      </c>
      <c r="L6" s="6" t="s">
        <v>154</v>
      </c>
    </row>
    <row r="7" customFormat="false" ht="23.85" hidden="false" customHeight="false" outlineLevel="0" collapsed="false">
      <c r="A7" s="7" t="s">
        <v>1242</v>
      </c>
      <c r="B7" s="7" t="s">
        <v>1243</v>
      </c>
      <c r="C7" s="7" t="n">
        <v>202601</v>
      </c>
      <c r="D7" s="7" t="s">
        <v>1244</v>
      </c>
      <c r="E7" s="7" t="s">
        <v>1245</v>
      </c>
      <c r="F7" s="7" t="s">
        <v>1246</v>
      </c>
      <c r="G7" s="7" t="n">
        <v>60</v>
      </c>
      <c r="H7" s="7" t="s">
        <v>1247</v>
      </c>
      <c r="I7" s="7"/>
      <c r="J7" s="7"/>
      <c r="K7" s="10" t="s">
        <v>1248</v>
      </c>
      <c r="L7" s="10"/>
    </row>
    <row r="8" customFormat="false" ht="23.85" hidden="false" customHeight="false" outlineLevel="0" collapsed="false">
      <c r="A8" s="7" t="s">
        <v>1249</v>
      </c>
      <c r="B8" s="7" t="s">
        <v>1250</v>
      </c>
      <c r="C8" s="7" t="n">
        <v>202601</v>
      </c>
      <c r="D8" s="7" t="s">
        <v>1251</v>
      </c>
      <c r="E8" s="7" t="s">
        <v>1252</v>
      </c>
      <c r="F8" s="7" t="s">
        <v>1253</v>
      </c>
      <c r="G8" s="7" t="n">
        <v>360</v>
      </c>
      <c r="H8" s="7" t="s">
        <v>1254</v>
      </c>
      <c r="I8" s="7"/>
      <c r="J8" s="7"/>
      <c r="K8" s="10" t="s">
        <v>1248</v>
      </c>
      <c r="L8" s="10"/>
    </row>
    <row r="9" customFormat="false" ht="15" hidden="false" customHeight="false" outlineLevel="0" collapsed="false">
      <c r="A9" s="7" t="s">
        <v>1255</v>
      </c>
      <c r="B9" s="7" t="s">
        <v>1256</v>
      </c>
      <c r="C9" s="7" t="n">
        <v>202601</v>
      </c>
      <c r="D9" s="7" t="s">
        <v>1257</v>
      </c>
      <c r="E9" s="7" t="s">
        <v>1258</v>
      </c>
      <c r="F9" s="7" t="s">
        <v>1259</v>
      </c>
      <c r="G9" s="7" t="n">
        <v>72</v>
      </c>
      <c r="H9" s="7" t="s">
        <v>1260</v>
      </c>
      <c r="I9" s="7"/>
      <c r="J9" s="7"/>
      <c r="K9" s="10" t="s">
        <v>1248</v>
      </c>
      <c r="L9" s="10"/>
    </row>
    <row r="10" customFormat="false" ht="23.85" hidden="false" customHeight="false" outlineLevel="0" collapsed="false">
      <c r="A10" s="7" t="s">
        <v>1261</v>
      </c>
      <c r="B10" s="7" t="s">
        <v>1262</v>
      </c>
      <c r="C10" s="7" t="n">
        <v>202601</v>
      </c>
      <c r="D10" s="7" t="s">
        <v>1251</v>
      </c>
      <c r="E10" s="7" t="s">
        <v>1252</v>
      </c>
      <c r="F10" s="7" t="s">
        <v>1253</v>
      </c>
      <c r="G10" s="7" t="n">
        <v>330</v>
      </c>
      <c r="H10" s="7" t="s">
        <v>1263</v>
      </c>
      <c r="I10" s="7"/>
      <c r="J10" s="7"/>
      <c r="K10" s="10" t="s">
        <v>1248</v>
      </c>
      <c r="L10" s="10"/>
    </row>
    <row r="11" customFormat="false" ht="23.85" hidden="false" customHeight="false" outlineLevel="0" collapsed="false">
      <c r="A11" s="7" t="s">
        <v>1264</v>
      </c>
      <c r="B11" s="7" t="s">
        <v>1265</v>
      </c>
      <c r="C11" s="7" t="n">
        <v>202601</v>
      </c>
      <c r="D11" s="7" t="s">
        <v>1251</v>
      </c>
      <c r="E11" s="7" t="s">
        <v>1252</v>
      </c>
      <c r="F11" s="7" t="s">
        <v>1253</v>
      </c>
      <c r="G11" s="7" t="n">
        <v>330</v>
      </c>
      <c r="H11" s="7" t="s">
        <v>1266</v>
      </c>
      <c r="I11" s="7"/>
      <c r="J11" s="7"/>
      <c r="K11" s="10" t="s">
        <v>1248</v>
      </c>
      <c r="L11" s="10"/>
    </row>
    <row r="12" customFormat="false" ht="23.85" hidden="false" customHeight="false" outlineLevel="0" collapsed="false">
      <c r="A12" s="7" t="s">
        <v>1267</v>
      </c>
      <c r="B12" s="7" t="s">
        <v>1268</v>
      </c>
      <c r="C12" s="7" t="n">
        <v>202601</v>
      </c>
      <c r="D12" s="7" t="s">
        <v>1244</v>
      </c>
      <c r="E12" s="7" t="s">
        <v>1245</v>
      </c>
      <c r="F12" s="7" t="s">
        <v>1269</v>
      </c>
      <c r="G12" s="7" t="n">
        <v>60</v>
      </c>
      <c r="H12" s="7" t="s">
        <v>1270</v>
      </c>
      <c r="I12" s="7"/>
      <c r="J12" s="7"/>
      <c r="K12" s="10" t="s">
        <v>1248</v>
      </c>
      <c r="L12" s="10"/>
    </row>
    <row r="13" customFormat="false" ht="23.85" hidden="false" customHeight="false" outlineLevel="0" collapsed="false">
      <c r="A13" s="7" t="s">
        <v>1271</v>
      </c>
      <c r="B13" s="7" t="s">
        <v>1272</v>
      </c>
      <c r="C13" s="7" t="n">
        <v>202601</v>
      </c>
      <c r="D13" s="7" t="s">
        <v>1257</v>
      </c>
      <c r="E13" s="7" t="s">
        <v>1273</v>
      </c>
      <c r="F13" s="7" t="s">
        <v>1274</v>
      </c>
      <c r="G13" s="7" t="n">
        <v>7</v>
      </c>
      <c r="H13" s="7" t="s">
        <v>1275</v>
      </c>
      <c r="I13" s="7"/>
      <c r="J13" s="7"/>
      <c r="K13" s="10" t="s">
        <v>1248</v>
      </c>
      <c r="L13" s="10"/>
    </row>
    <row r="14" customFormat="false" ht="46.25" hidden="false" customHeight="false" outlineLevel="0" collapsed="false">
      <c r="A14" s="7" t="s">
        <v>1276</v>
      </c>
      <c r="B14" s="7" t="s">
        <v>1277</v>
      </c>
      <c r="C14" s="7" t="n">
        <v>202601</v>
      </c>
      <c r="D14" s="7" t="s">
        <v>1244</v>
      </c>
      <c r="E14" s="7" t="s">
        <v>1278</v>
      </c>
      <c r="F14" s="7" t="s">
        <v>1279</v>
      </c>
      <c r="G14" s="7" t="n">
        <v>120</v>
      </c>
      <c r="H14" s="7" t="s">
        <v>1280</v>
      </c>
      <c r="I14" s="7"/>
      <c r="J14" s="7"/>
      <c r="K14" s="10" t="s">
        <v>1248</v>
      </c>
      <c r="L14" s="10"/>
    </row>
    <row r="15" customFormat="false" ht="15" hidden="false" customHeight="false" outlineLevel="0" collapsed="false">
      <c r="A15" s="7" t="s">
        <v>1281</v>
      </c>
      <c r="B15" s="7" t="s">
        <v>1282</v>
      </c>
      <c r="C15" s="7" t="n">
        <v>202601</v>
      </c>
      <c r="D15" s="7" t="s">
        <v>1244</v>
      </c>
      <c r="E15" s="7" t="s">
        <v>1278</v>
      </c>
      <c r="F15" s="7" t="s">
        <v>1283</v>
      </c>
      <c r="G15" s="7" t="n">
        <v>60</v>
      </c>
      <c r="H15" s="7" t="s">
        <v>1284</v>
      </c>
      <c r="I15" s="7"/>
      <c r="J15" s="7"/>
      <c r="K15" s="10" t="s">
        <v>1248</v>
      </c>
      <c r="L15" s="10"/>
    </row>
    <row r="16" customFormat="false" ht="23.85" hidden="false" customHeight="false" outlineLevel="0" collapsed="false">
      <c r="A16" s="7" t="s">
        <v>1285</v>
      </c>
      <c r="B16" s="7" t="s">
        <v>1286</v>
      </c>
      <c r="C16" s="7" t="n">
        <v>202601</v>
      </c>
      <c r="D16" s="7" t="s">
        <v>1244</v>
      </c>
      <c r="E16" s="7" t="s">
        <v>1287</v>
      </c>
      <c r="F16" s="7" t="s">
        <v>1288</v>
      </c>
      <c r="G16" s="7" t="n">
        <v>90</v>
      </c>
      <c r="H16" s="7" t="s">
        <v>1289</v>
      </c>
      <c r="I16" s="7"/>
      <c r="J16" s="7"/>
      <c r="K16" s="10" t="s">
        <v>1248</v>
      </c>
      <c r="L16" s="10"/>
    </row>
    <row r="17" customFormat="false" ht="35.05" hidden="false" customHeight="false" outlineLevel="0" collapsed="false">
      <c r="A17" s="7" t="s">
        <v>1290</v>
      </c>
      <c r="B17" s="7" t="s">
        <v>1291</v>
      </c>
      <c r="C17" s="7" t="n">
        <v>202601</v>
      </c>
      <c r="D17" s="7" t="s">
        <v>1244</v>
      </c>
      <c r="E17" s="7" t="s">
        <v>1278</v>
      </c>
      <c r="F17" s="7" t="s">
        <v>1292</v>
      </c>
      <c r="G17" s="7" t="n">
        <v>13</v>
      </c>
      <c r="H17" s="7" t="s">
        <v>1293</v>
      </c>
      <c r="I17" s="7"/>
      <c r="J17" s="7"/>
      <c r="K17" s="10" t="s">
        <v>1248</v>
      </c>
      <c r="L17" s="10"/>
    </row>
    <row r="18" customFormat="false" ht="15" hidden="false" customHeight="false" outlineLevel="0" collapsed="false">
      <c r="A18" s="7" t="s">
        <v>1294</v>
      </c>
      <c r="B18" s="7" t="s">
        <v>1295</v>
      </c>
      <c r="C18" s="7" t="n">
        <v>202601</v>
      </c>
      <c r="D18" s="7" t="s">
        <v>772</v>
      </c>
      <c r="E18" s="7" t="s">
        <v>1296</v>
      </c>
      <c r="F18" s="7" t="s">
        <v>1297</v>
      </c>
      <c r="G18" s="7" t="n">
        <v>7</v>
      </c>
      <c r="H18" s="7" t="s">
        <v>1298</v>
      </c>
      <c r="I18" s="7"/>
      <c r="J18" s="7"/>
      <c r="K18" s="10" t="s">
        <v>1248</v>
      </c>
      <c r="L18" s="10"/>
    </row>
    <row r="19" customFormat="false" ht="57.45" hidden="false" customHeight="false" outlineLevel="0" collapsed="false">
      <c r="A19" s="7" t="s">
        <v>1299</v>
      </c>
      <c r="B19" s="7" t="s">
        <v>1300</v>
      </c>
      <c r="C19" s="7" t="n">
        <v>202601</v>
      </c>
      <c r="D19" s="7" t="s">
        <v>772</v>
      </c>
      <c r="E19" s="7" t="s">
        <v>1296</v>
      </c>
      <c r="F19" s="7" t="s">
        <v>1301</v>
      </c>
      <c r="G19" s="7" t="n">
        <v>7</v>
      </c>
      <c r="H19" s="7" t="s">
        <v>1302</v>
      </c>
      <c r="I19" s="7"/>
      <c r="J19" s="7"/>
      <c r="K19" s="10" t="s">
        <v>1248</v>
      </c>
      <c r="L19" s="10"/>
    </row>
    <row r="20" customFormat="false" ht="35.05" hidden="false" customHeight="false" outlineLevel="0" collapsed="false">
      <c r="A20" s="7" t="s">
        <v>1303</v>
      </c>
      <c r="B20" s="7" t="s">
        <v>1304</v>
      </c>
      <c r="C20" s="7" t="n">
        <v>202601</v>
      </c>
      <c r="D20" s="7" t="s">
        <v>1305</v>
      </c>
      <c r="E20" s="7" t="s">
        <v>1306</v>
      </c>
      <c r="F20" s="7"/>
      <c r="G20" s="7" t="n">
        <v>60</v>
      </c>
      <c r="H20" s="7" t="s">
        <v>1307</v>
      </c>
      <c r="I20" s="7"/>
      <c r="J20" s="7"/>
      <c r="K20" s="10" t="s">
        <v>1248</v>
      </c>
      <c r="L20" s="10"/>
    </row>
    <row r="21" customFormat="false" ht="15" hidden="false" customHeight="false" outlineLevel="0" collapsed="false">
      <c r="A21" s="7" t="s">
        <v>1308</v>
      </c>
      <c r="B21" s="7" t="s">
        <v>1309</v>
      </c>
      <c r="C21" s="7" t="n">
        <v>202602</v>
      </c>
      <c r="D21" s="7" t="s">
        <v>772</v>
      </c>
      <c r="E21" s="7" t="s">
        <v>1296</v>
      </c>
      <c r="F21" s="7" t="s">
        <v>1310</v>
      </c>
      <c r="G21" s="7" t="n">
        <v>6</v>
      </c>
      <c r="H21" s="7" t="s">
        <v>1311</v>
      </c>
      <c r="I21" s="7"/>
      <c r="J21" s="7"/>
      <c r="K21" s="10" t="s">
        <v>1248</v>
      </c>
      <c r="L21" s="10"/>
    </row>
    <row r="22" customFormat="false" ht="23.85" hidden="false" customHeight="false" outlineLevel="0" collapsed="false">
      <c r="A22" s="7" t="s">
        <v>1312</v>
      </c>
      <c r="B22" s="7" t="s">
        <v>1313</v>
      </c>
      <c r="C22" s="7" t="n">
        <v>202602</v>
      </c>
      <c r="D22" s="7" t="s">
        <v>1244</v>
      </c>
      <c r="E22" s="7" t="s">
        <v>1314</v>
      </c>
      <c r="F22" s="7" t="s">
        <v>1315</v>
      </c>
      <c r="G22" s="7" t="n">
        <v>0</v>
      </c>
      <c r="H22" s="7" t="s">
        <v>1316</v>
      </c>
      <c r="I22" s="7"/>
      <c r="J22" s="7"/>
      <c r="K22" s="10" t="s">
        <v>1248</v>
      </c>
      <c r="L22" s="10"/>
    </row>
    <row r="23" customFormat="false" ht="15" hidden="false" customHeight="false" outlineLevel="0" collapsed="false">
      <c r="A23" s="7" t="s">
        <v>1317</v>
      </c>
      <c r="B23" s="7" t="s">
        <v>1318</v>
      </c>
      <c r="C23" s="7" t="n">
        <v>202602</v>
      </c>
      <c r="D23" s="7" t="s">
        <v>772</v>
      </c>
      <c r="E23" s="7" t="s">
        <v>1296</v>
      </c>
      <c r="F23" s="7" t="s">
        <v>1319</v>
      </c>
      <c r="G23" s="7" t="n">
        <v>7</v>
      </c>
      <c r="H23" s="7" t="s">
        <v>1320</v>
      </c>
      <c r="I23" s="7"/>
      <c r="J23" s="7"/>
      <c r="K23" s="10" t="s">
        <v>1248</v>
      </c>
      <c r="L23" s="10"/>
    </row>
    <row r="24" customFormat="false" ht="23.85" hidden="false" customHeight="false" outlineLevel="0" collapsed="false">
      <c r="A24" s="7" t="s">
        <v>1321</v>
      </c>
      <c r="B24" s="7" t="s">
        <v>1322</v>
      </c>
      <c r="C24" s="7" t="n">
        <v>202602</v>
      </c>
      <c r="D24" s="7" t="s">
        <v>1244</v>
      </c>
      <c r="E24" s="7" t="s">
        <v>1278</v>
      </c>
      <c r="F24" s="7" t="s">
        <v>1323</v>
      </c>
      <c r="G24" s="7" t="n">
        <v>120</v>
      </c>
      <c r="H24" s="7" t="s">
        <v>1324</v>
      </c>
      <c r="I24" s="7"/>
      <c r="J24" s="7"/>
      <c r="K24" s="10" t="s">
        <v>1248</v>
      </c>
      <c r="L24" s="10"/>
    </row>
    <row r="25" customFormat="false" ht="35.05" hidden="false" customHeight="false" outlineLevel="0" collapsed="false">
      <c r="A25" s="7" t="s">
        <v>1325</v>
      </c>
      <c r="B25" s="7" t="s">
        <v>1326</v>
      </c>
      <c r="C25" s="7" t="n">
        <v>202602</v>
      </c>
      <c r="D25" s="7" t="s">
        <v>786</v>
      </c>
      <c r="E25" s="7" t="s">
        <v>1327</v>
      </c>
      <c r="F25" s="7"/>
      <c r="G25" s="7" t="n">
        <v>60</v>
      </c>
      <c r="H25" s="7" t="s">
        <v>1328</v>
      </c>
      <c r="I25" s="7"/>
      <c r="J25" s="7"/>
      <c r="K25" s="10" t="s">
        <v>1248</v>
      </c>
      <c r="L25" s="10"/>
    </row>
    <row r="26" customFormat="false" ht="23.85" hidden="false" customHeight="false" outlineLevel="0" collapsed="false">
      <c r="A26" s="7" t="s">
        <v>1329</v>
      </c>
      <c r="B26" s="7" t="s">
        <v>1330</v>
      </c>
      <c r="C26" s="7" t="n">
        <v>202602</v>
      </c>
      <c r="D26" s="7" t="s">
        <v>1244</v>
      </c>
      <c r="E26" s="7" t="s">
        <v>1314</v>
      </c>
      <c r="F26" s="7" t="s">
        <v>1331</v>
      </c>
      <c r="G26" s="7" t="n">
        <v>60</v>
      </c>
      <c r="H26" s="7" t="s">
        <v>1332</v>
      </c>
      <c r="I26" s="7"/>
      <c r="J26" s="7"/>
      <c r="K26" s="10" t="s">
        <v>1248</v>
      </c>
      <c r="L26" s="10"/>
    </row>
    <row r="27" customFormat="false" ht="23.85" hidden="false" customHeight="false" outlineLevel="0" collapsed="false">
      <c r="A27" s="7" t="s">
        <v>1333</v>
      </c>
      <c r="B27" s="7" t="s">
        <v>1334</v>
      </c>
      <c r="C27" s="7" t="n">
        <v>202603</v>
      </c>
      <c r="D27" s="7" t="s">
        <v>1244</v>
      </c>
      <c r="E27" s="7" t="s">
        <v>1335</v>
      </c>
      <c r="F27" s="7" t="s">
        <v>1336</v>
      </c>
      <c r="G27" s="7" t="n">
        <v>60</v>
      </c>
      <c r="H27" s="7" t="s">
        <v>1337</v>
      </c>
      <c r="I27" s="7"/>
      <c r="J27" s="7"/>
      <c r="K27" s="10" t="s">
        <v>1248</v>
      </c>
      <c r="L27" s="10"/>
    </row>
    <row r="28" customFormat="false" ht="15" hidden="false" customHeight="false" outlineLevel="0" collapsed="false">
      <c r="A28" s="7" t="s">
        <v>1338</v>
      </c>
      <c r="B28" s="7" t="s">
        <v>1339</v>
      </c>
      <c r="C28" s="7" t="n">
        <v>202603</v>
      </c>
      <c r="D28" s="7" t="s">
        <v>1244</v>
      </c>
      <c r="E28" s="7" t="s">
        <v>1314</v>
      </c>
      <c r="F28" s="7" t="s">
        <v>1340</v>
      </c>
      <c r="G28" s="7" t="n">
        <v>60</v>
      </c>
      <c r="H28" s="7" t="s">
        <v>1341</v>
      </c>
      <c r="I28" s="7" t="s">
        <v>1342</v>
      </c>
      <c r="J28" s="7"/>
      <c r="K28" s="10" t="s">
        <v>1248</v>
      </c>
      <c r="L28" s="10"/>
    </row>
    <row r="29" customFormat="false" ht="46.25" hidden="false" customHeight="false" outlineLevel="0" collapsed="false">
      <c r="A29" s="7" t="s">
        <v>1343</v>
      </c>
      <c r="B29" s="7" t="s">
        <v>1344</v>
      </c>
      <c r="C29" s="7" t="n">
        <v>202603</v>
      </c>
      <c r="D29" s="7" t="s">
        <v>1244</v>
      </c>
      <c r="E29" s="7" t="s">
        <v>1245</v>
      </c>
      <c r="F29" s="7" t="s">
        <v>1345</v>
      </c>
      <c r="G29" s="7" t="n">
        <v>0</v>
      </c>
      <c r="H29" s="7" t="s">
        <v>1346</v>
      </c>
      <c r="I29" s="7"/>
      <c r="J29" s="7"/>
      <c r="K29" s="10" t="s">
        <v>1248</v>
      </c>
      <c r="L29" s="10"/>
    </row>
    <row r="30" customFormat="false" ht="68.65" hidden="false" customHeight="false" outlineLevel="0" collapsed="false">
      <c r="A30" s="7" t="s">
        <v>1347</v>
      </c>
      <c r="B30" s="7" t="s">
        <v>1348</v>
      </c>
      <c r="C30" s="7" t="n">
        <v>202603</v>
      </c>
      <c r="D30" s="7" t="s">
        <v>1244</v>
      </c>
      <c r="E30" s="7" t="s">
        <v>1278</v>
      </c>
      <c r="F30" s="7" t="s">
        <v>1349</v>
      </c>
      <c r="G30" s="7" t="n">
        <v>0</v>
      </c>
      <c r="H30" s="7" t="s">
        <v>1350</v>
      </c>
      <c r="I30" s="7"/>
      <c r="J30" s="7"/>
      <c r="K30" s="10" t="s">
        <v>1248</v>
      </c>
      <c r="L30" s="10"/>
    </row>
    <row r="31" customFormat="false" ht="23.85" hidden="false" customHeight="false" outlineLevel="0" collapsed="false">
      <c r="A31" s="7" t="s">
        <v>1351</v>
      </c>
      <c r="B31" s="7" t="s">
        <v>1352</v>
      </c>
      <c r="C31" s="7" t="n">
        <v>202603</v>
      </c>
      <c r="D31" s="7" t="s">
        <v>1244</v>
      </c>
      <c r="E31" s="7" t="s">
        <v>1278</v>
      </c>
      <c r="F31" s="7" t="s">
        <v>1353</v>
      </c>
      <c r="G31" s="7" t="n">
        <v>15</v>
      </c>
      <c r="H31" s="7" t="s">
        <v>1354</v>
      </c>
      <c r="I31" s="7"/>
      <c r="J31" s="7"/>
      <c r="K31" s="10" t="s">
        <v>1248</v>
      </c>
      <c r="L31" s="10"/>
    </row>
    <row r="32" customFormat="false" ht="15" hidden="false" customHeight="false" outlineLevel="0" collapsed="false">
      <c r="A32" s="7" t="s">
        <v>1355</v>
      </c>
      <c r="B32" s="7" t="s">
        <v>1356</v>
      </c>
      <c r="C32" s="7" t="n">
        <v>202603</v>
      </c>
      <c r="D32" s="7" t="s">
        <v>1244</v>
      </c>
      <c r="E32" s="7" t="s">
        <v>1278</v>
      </c>
      <c r="F32" s="7" t="s">
        <v>1357</v>
      </c>
      <c r="G32" s="7" t="n">
        <v>0</v>
      </c>
      <c r="H32" s="7" t="s">
        <v>1358</v>
      </c>
      <c r="I32" s="7" t="s">
        <v>1359</v>
      </c>
      <c r="J32" s="7"/>
      <c r="K32" s="10" t="s">
        <v>1248</v>
      </c>
      <c r="L32" s="10"/>
    </row>
    <row r="33" customFormat="false" ht="23.85" hidden="false" customHeight="false" outlineLevel="0" collapsed="false">
      <c r="A33" s="7" t="s">
        <v>1360</v>
      </c>
      <c r="B33" s="7" t="s">
        <v>1361</v>
      </c>
      <c r="C33" s="7" t="n">
        <v>202603</v>
      </c>
      <c r="D33" s="7" t="s">
        <v>1244</v>
      </c>
      <c r="E33" s="7" t="s">
        <v>1314</v>
      </c>
      <c r="F33" s="7" t="s">
        <v>1362</v>
      </c>
      <c r="G33" s="7" t="n">
        <v>60</v>
      </c>
      <c r="H33" s="7" t="s">
        <v>1363</v>
      </c>
      <c r="I33" s="7"/>
      <c r="J33" s="7"/>
      <c r="K33" s="10" t="s">
        <v>1248</v>
      </c>
      <c r="L33" s="10"/>
    </row>
    <row r="34" customFormat="false" ht="15" hidden="false" customHeight="false" outlineLevel="0" collapsed="false">
      <c r="A34" s="7" t="s">
        <v>1364</v>
      </c>
      <c r="B34" s="7" t="s">
        <v>1365</v>
      </c>
      <c r="C34" s="7" t="n">
        <v>202603</v>
      </c>
      <c r="D34" s="7" t="s">
        <v>772</v>
      </c>
      <c r="E34" s="7" t="s">
        <v>1296</v>
      </c>
      <c r="F34" s="7" t="s">
        <v>1366</v>
      </c>
      <c r="G34" s="7" t="n">
        <v>7</v>
      </c>
      <c r="H34" s="7" t="s">
        <v>1367</v>
      </c>
      <c r="I34" s="7"/>
      <c r="J34" s="7"/>
      <c r="K34" s="10" t="s">
        <v>1248</v>
      </c>
      <c r="L34" s="10"/>
    </row>
    <row r="35" customFormat="false" ht="23.85" hidden="false" customHeight="false" outlineLevel="0" collapsed="false">
      <c r="A35" s="7" t="s">
        <v>1368</v>
      </c>
      <c r="B35" s="7" t="s">
        <v>1369</v>
      </c>
      <c r="C35" s="7" t="n">
        <v>202604</v>
      </c>
      <c r="D35" s="7" t="s">
        <v>1244</v>
      </c>
      <c r="E35" s="7" t="s">
        <v>1314</v>
      </c>
      <c r="F35" s="7" t="s">
        <v>1370</v>
      </c>
      <c r="G35" s="7" t="n">
        <v>60</v>
      </c>
      <c r="H35" s="7" t="s">
        <v>1371</v>
      </c>
      <c r="I35" s="7"/>
      <c r="J35" s="7"/>
      <c r="K35" s="10" t="s">
        <v>1248</v>
      </c>
      <c r="L35" s="10"/>
    </row>
    <row r="36" customFormat="false" ht="23.85" hidden="false" customHeight="false" outlineLevel="0" collapsed="false">
      <c r="A36" s="7" t="s">
        <v>1372</v>
      </c>
      <c r="B36" s="7" t="s">
        <v>1373</v>
      </c>
      <c r="C36" s="7" t="n">
        <v>202604</v>
      </c>
      <c r="D36" s="7" t="s">
        <v>1244</v>
      </c>
      <c r="E36" s="7" t="s">
        <v>1314</v>
      </c>
      <c r="F36" s="7" t="s">
        <v>1374</v>
      </c>
      <c r="G36" s="7" t="n">
        <v>60</v>
      </c>
      <c r="H36" s="7" t="s">
        <v>1375</v>
      </c>
      <c r="I36" s="7"/>
      <c r="J36" s="7"/>
      <c r="K36" s="10" t="s">
        <v>1248</v>
      </c>
      <c r="L36" s="10"/>
    </row>
    <row r="37" customFormat="false" ht="15" hidden="false" customHeight="false" outlineLevel="0" collapsed="false">
      <c r="A37" s="7" t="s">
        <v>1376</v>
      </c>
      <c r="B37" s="7" t="s">
        <v>1377</v>
      </c>
      <c r="C37" s="7" t="n">
        <v>202604</v>
      </c>
      <c r="D37" s="7" t="s">
        <v>1257</v>
      </c>
      <c r="E37" s="7" t="s">
        <v>1378</v>
      </c>
      <c r="F37" s="7" t="s">
        <v>1379</v>
      </c>
      <c r="G37" s="7" t="n">
        <v>7</v>
      </c>
      <c r="H37" s="7" t="s">
        <v>1380</v>
      </c>
      <c r="I37" s="7"/>
      <c r="J37" s="7"/>
      <c r="K37" s="10" t="s">
        <v>1248</v>
      </c>
      <c r="L37" s="10"/>
    </row>
    <row r="38" customFormat="false" ht="35.05" hidden="false" customHeight="false" outlineLevel="0" collapsed="false">
      <c r="A38" s="7" t="s">
        <v>1381</v>
      </c>
      <c r="B38" s="7" t="s">
        <v>1382</v>
      </c>
      <c r="C38" s="7" t="n">
        <v>202604</v>
      </c>
      <c r="D38" s="7" t="s">
        <v>1244</v>
      </c>
      <c r="E38" s="7" t="s">
        <v>1245</v>
      </c>
      <c r="F38" s="7" t="s">
        <v>1383</v>
      </c>
      <c r="G38" s="7" t="n">
        <v>3</v>
      </c>
      <c r="H38" s="7" t="s">
        <v>1384</v>
      </c>
      <c r="I38" s="7"/>
      <c r="J38" s="7"/>
      <c r="K38" s="10" t="s">
        <v>1248</v>
      </c>
      <c r="L38" s="10"/>
    </row>
    <row r="39" customFormat="false" ht="15" hidden="false" customHeight="false" outlineLevel="0" collapsed="false">
      <c r="A39" s="7" t="s">
        <v>1385</v>
      </c>
      <c r="B39" s="7" t="s">
        <v>1386</v>
      </c>
      <c r="C39" s="7" t="n">
        <v>202604</v>
      </c>
      <c r="D39" s="7" t="s">
        <v>772</v>
      </c>
      <c r="E39" s="7" t="s">
        <v>1296</v>
      </c>
      <c r="F39" s="7" t="s">
        <v>1387</v>
      </c>
      <c r="G39" s="7" t="n">
        <v>7</v>
      </c>
      <c r="H39" s="7" t="s">
        <v>1388</v>
      </c>
      <c r="I39" s="7"/>
      <c r="J39" s="7"/>
      <c r="K39" s="10" t="s">
        <v>1248</v>
      </c>
      <c r="L39" s="10"/>
    </row>
    <row r="40" customFormat="false" ht="15" hidden="false" customHeight="false" outlineLevel="0" collapsed="false">
      <c r="A40" s="7" t="s">
        <v>1389</v>
      </c>
      <c r="B40" s="7" t="s">
        <v>1390</v>
      </c>
      <c r="C40" s="7" t="n">
        <v>202604</v>
      </c>
      <c r="D40" s="7" t="s">
        <v>1257</v>
      </c>
      <c r="E40" s="7" t="s">
        <v>1258</v>
      </c>
      <c r="F40" s="7" t="s">
        <v>1391</v>
      </c>
      <c r="G40" s="7" t="n">
        <v>0</v>
      </c>
      <c r="H40" s="7" t="s">
        <v>793</v>
      </c>
      <c r="I40" s="7"/>
      <c r="J40" s="7"/>
      <c r="K40" s="10" t="s">
        <v>1248</v>
      </c>
      <c r="L40" s="10"/>
    </row>
    <row r="41" customFormat="false" ht="35.05" hidden="false" customHeight="false" outlineLevel="0" collapsed="false">
      <c r="A41" s="7" t="s">
        <v>1392</v>
      </c>
      <c r="B41" s="7" t="s">
        <v>1393</v>
      </c>
      <c r="C41" s="7" t="n">
        <v>202604</v>
      </c>
      <c r="D41" s="7" t="s">
        <v>1394</v>
      </c>
      <c r="E41" s="7" t="s">
        <v>1395</v>
      </c>
      <c r="F41" s="7" t="s">
        <v>1396</v>
      </c>
      <c r="G41" s="7" t="n">
        <v>11</v>
      </c>
      <c r="H41" s="7" t="s">
        <v>1397</v>
      </c>
      <c r="I41" s="7"/>
      <c r="J41" s="7"/>
      <c r="K41" s="10" t="s">
        <v>1248</v>
      </c>
      <c r="L41" s="10"/>
    </row>
    <row r="42" customFormat="false" ht="15" hidden="false" customHeight="false" outlineLevel="0" collapsed="false">
      <c r="A42" s="7" t="s">
        <v>1398</v>
      </c>
      <c r="B42" s="7" t="s">
        <v>1399</v>
      </c>
      <c r="C42" s="7" t="n">
        <v>202604</v>
      </c>
      <c r="D42" s="7" t="s">
        <v>1244</v>
      </c>
      <c r="E42" s="7" t="s">
        <v>1245</v>
      </c>
      <c r="F42" s="7" t="s">
        <v>1400</v>
      </c>
      <c r="G42" s="7" t="n">
        <v>60</v>
      </c>
      <c r="H42" s="7" t="s">
        <v>1401</v>
      </c>
      <c r="I42" s="7"/>
      <c r="J42" s="7"/>
      <c r="K42" s="10" t="s">
        <v>1248</v>
      </c>
      <c r="L42" s="10"/>
    </row>
    <row r="43" customFormat="false" ht="46.25" hidden="false" customHeight="false" outlineLevel="0" collapsed="false">
      <c r="A43" s="7" t="s">
        <v>1402</v>
      </c>
      <c r="B43" s="7" t="s">
        <v>1403</v>
      </c>
      <c r="C43" s="7" t="n">
        <v>202604</v>
      </c>
      <c r="D43" s="7" t="s">
        <v>1244</v>
      </c>
      <c r="E43" s="7" t="s">
        <v>1314</v>
      </c>
      <c r="F43" s="7" t="s">
        <v>1404</v>
      </c>
      <c r="G43" s="7" t="n">
        <v>60</v>
      </c>
      <c r="H43" s="7" t="s">
        <v>1405</v>
      </c>
      <c r="I43" s="7"/>
      <c r="J43" s="7"/>
      <c r="K43" s="10" t="s">
        <v>1248</v>
      </c>
      <c r="L43" s="10"/>
    </row>
    <row r="44" customFormat="false" ht="23.85" hidden="false" customHeight="false" outlineLevel="0" collapsed="false">
      <c r="A44" s="7" t="s">
        <v>1406</v>
      </c>
      <c r="B44" s="7" t="s">
        <v>1407</v>
      </c>
      <c r="C44" s="7" t="n">
        <v>202604</v>
      </c>
      <c r="D44" s="7" t="s">
        <v>1244</v>
      </c>
      <c r="E44" s="7" t="s">
        <v>1245</v>
      </c>
      <c r="F44" s="7" t="s">
        <v>1408</v>
      </c>
      <c r="G44" s="7" t="n">
        <v>30</v>
      </c>
      <c r="H44" s="7" t="s">
        <v>1409</v>
      </c>
      <c r="I44" s="7"/>
      <c r="J44" s="7"/>
      <c r="K44" s="10" t="s">
        <v>1248</v>
      </c>
      <c r="L44" s="10"/>
    </row>
    <row r="45" customFormat="false" ht="23.85" hidden="false" customHeight="false" outlineLevel="0" collapsed="false">
      <c r="A45" s="7" t="s">
        <v>1410</v>
      </c>
      <c r="B45" s="7" t="s">
        <v>1411</v>
      </c>
      <c r="C45" s="7" t="n">
        <v>202604</v>
      </c>
      <c r="D45" s="7" t="s">
        <v>1257</v>
      </c>
      <c r="E45" s="7" t="s">
        <v>1412</v>
      </c>
      <c r="F45" s="7" t="s">
        <v>1413</v>
      </c>
      <c r="G45" s="7" t="n">
        <v>7</v>
      </c>
      <c r="H45" s="7" t="s">
        <v>1414</v>
      </c>
      <c r="I45" s="7"/>
      <c r="J45" s="7"/>
      <c r="K45" s="10" t="s">
        <v>1248</v>
      </c>
      <c r="L45" s="10"/>
    </row>
    <row r="46" customFormat="false" ht="46.25" hidden="false" customHeight="false" outlineLevel="0" collapsed="false">
      <c r="A46" s="7" t="s">
        <v>1415</v>
      </c>
      <c r="B46" s="7" t="s">
        <v>1416</v>
      </c>
      <c r="C46" s="7" t="n">
        <v>202604</v>
      </c>
      <c r="D46" s="7" t="s">
        <v>1244</v>
      </c>
      <c r="E46" s="7" t="s">
        <v>1417</v>
      </c>
      <c r="F46" s="7" t="s">
        <v>1418</v>
      </c>
      <c r="G46" s="7" t="n">
        <v>60</v>
      </c>
      <c r="H46" s="7" t="s">
        <v>1419</v>
      </c>
      <c r="I46" s="7"/>
      <c r="J46" s="7"/>
      <c r="K46" s="10" t="s">
        <v>1248</v>
      </c>
      <c r="L46" s="10"/>
    </row>
    <row r="47" customFormat="false" ht="23.85" hidden="false" customHeight="false" outlineLevel="0" collapsed="false">
      <c r="A47" s="7" t="s">
        <v>1420</v>
      </c>
      <c r="B47" s="7" t="s">
        <v>1421</v>
      </c>
      <c r="C47" s="7" t="n">
        <v>202604</v>
      </c>
      <c r="D47" s="7" t="s">
        <v>1257</v>
      </c>
      <c r="E47" s="7" t="s">
        <v>1412</v>
      </c>
      <c r="F47" s="7" t="s">
        <v>1422</v>
      </c>
      <c r="G47" s="7" t="n">
        <v>7</v>
      </c>
      <c r="H47" s="7" t="s">
        <v>1423</v>
      </c>
      <c r="I47" s="7"/>
      <c r="J47" s="7"/>
      <c r="K47" s="10" t="s">
        <v>1248</v>
      </c>
      <c r="L47" s="10"/>
    </row>
    <row r="48" customFormat="false" ht="23.85" hidden="false" customHeight="false" outlineLevel="0" collapsed="false">
      <c r="A48" s="7" t="s">
        <v>1424</v>
      </c>
      <c r="B48" s="7" t="s">
        <v>1425</v>
      </c>
      <c r="C48" s="7" t="n">
        <v>202604</v>
      </c>
      <c r="D48" s="7" t="s">
        <v>1257</v>
      </c>
      <c r="E48" s="7" t="s">
        <v>1426</v>
      </c>
      <c r="F48" s="7" t="s">
        <v>1427</v>
      </c>
      <c r="G48" s="7" t="n">
        <v>15</v>
      </c>
      <c r="H48" s="7" t="s">
        <v>1428</v>
      </c>
      <c r="I48" s="7" t="s">
        <v>1429</v>
      </c>
      <c r="J48" s="7"/>
      <c r="K48" s="10" t="s">
        <v>1248</v>
      </c>
      <c r="L48" s="10"/>
    </row>
    <row r="49" customFormat="false" ht="23.85" hidden="false" customHeight="false" outlineLevel="0" collapsed="false">
      <c r="A49" s="7" t="s">
        <v>1430</v>
      </c>
      <c r="B49" s="7" t="s">
        <v>1431</v>
      </c>
      <c r="C49" s="7" t="n">
        <v>202604</v>
      </c>
      <c r="D49" s="7" t="s">
        <v>1257</v>
      </c>
      <c r="E49" s="7" t="s">
        <v>1432</v>
      </c>
      <c r="F49" s="7" t="s">
        <v>1433</v>
      </c>
      <c r="G49" s="7" t="n">
        <v>7</v>
      </c>
      <c r="H49" s="7" t="s">
        <v>1434</v>
      </c>
      <c r="I49" s="7"/>
      <c r="J49" s="7"/>
      <c r="K49" s="10" t="s">
        <v>1248</v>
      </c>
      <c r="L49" s="10"/>
    </row>
    <row r="50" customFormat="false" ht="57.45" hidden="false" customHeight="false" outlineLevel="0" collapsed="false">
      <c r="A50" s="7" t="s">
        <v>1435</v>
      </c>
      <c r="B50" s="7" t="s">
        <v>1436</v>
      </c>
      <c r="C50" s="7" t="n">
        <v>202604</v>
      </c>
      <c r="D50" s="7" t="s">
        <v>1244</v>
      </c>
      <c r="E50" s="7" t="s">
        <v>1278</v>
      </c>
      <c r="F50" s="7" t="s">
        <v>1437</v>
      </c>
      <c r="G50" s="7" t="n">
        <v>8</v>
      </c>
      <c r="H50" s="7" t="s">
        <v>1438</v>
      </c>
      <c r="I50" s="7"/>
      <c r="J50" s="7"/>
      <c r="K50" s="10" t="s">
        <v>1248</v>
      </c>
      <c r="L50" s="10"/>
    </row>
    <row r="51" customFormat="false" ht="23.85" hidden="false" customHeight="false" outlineLevel="0" collapsed="false">
      <c r="A51" s="7" t="s">
        <v>1439</v>
      </c>
      <c r="B51" s="7" t="s">
        <v>1440</v>
      </c>
      <c r="C51" s="7" t="n">
        <v>202604</v>
      </c>
      <c r="D51" s="7" t="s">
        <v>1257</v>
      </c>
      <c r="E51" s="7" t="s">
        <v>1432</v>
      </c>
      <c r="F51" s="7" t="s">
        <v>1433</v>
      </c>
      <c r="G51" s="7" t="n">
        <v>7</v>
      </c>
      <c r="H51" s="7" t="s">
        <v>1441</v>
      </c>
      <c r="I51" s="7"/>
      <c r="J51" s="7"/>
      <c r="K51" s="10" t="s">
        <v>1248</v>
      </c>
      <c r="L51" s="10"/>
    </row>
    <row r="52" customFormat="false" ht="15" hidden="false" customHeight="false" outlineLevel="0" collapsed="false">
      <c r="A52" s="7" t="s">
        <v>1442</v>
      </c>
      <c r="B52" s="7" t="s">
        <v>1443</v>
      </c>
      <c r="C52" s="7" t="n">
        <v>202605</v>
      </c>
      <c r="D52" s="7" t="s">
        <v>1244</v>
      </c>
      <c r="E52" s="7" t="s">
        <v>1287</v>
      </c>
      <c r="F52" s="7" t="s">
        <v>1444</v>
      </c>
      <c r="G52" s="7" t="n">
        <v>0</v>
      </c>
      <c r="H52" s="7" t="s">
        <v>1445</v>
      </c>
      <c r="I52" s="7"/>
      <c r="J52" s="7"/>
      <c r="K52" s="10" t="s">
        <v>1248</v>
      </c>
      <c r="L52" s="10"/>
    </row>
    <row r="53" customFormat="false" ht="68.65" hidden="false" customHeight="false" outlineLevel="0" collapsed="false">
      <c r="A53" s="7" t="s">
        <v>1446</v>
      </c>
      <c r="B53" s="7" t="s">
        <v>1447</v>
      </c>
      <c r="C53" s="7" t="n">
        <v>202605</v>
      </c>
      <c r="D53" s="7" t="s">
        <v>1394</v>
      </c>
      <c r="E53" s="7" t="s">
        <v>1448</v>
      </c>
      <c r="F53" s="7" t="s">
        <v>1449</v>
      </c>
      <c r="G53" s="7" t="n">
        <v>0</v>
      </c>
      <c r="H53" s="7" t="s">
        <v>1450</v>
      </c>
      <c r="I53" s="7" t="s">
        <v>1451</v>
      </c>
      <c r="J53" s="7"/>
      <c r="K53" s="10" t="s">
        <v>1248</v>
      </c>
      <c r="L53" s="10"/>
    </row>
    <row r="54" customFormat="false" ht="23.85" hidden="false" customHeight="false" outlineLevel="0" collapsed="false">
      <c r="A54" s="7" t="s">
        <v>1452</v>
      </c>
      <c r="B54" s="7" t="s">
        <v>1453</v>
      </c>
      <c r="C54" s="7" t="n">
        <v>202605</v>
      </c>
      <c r="D54" s="7" t="s">
        <v>1244</v>
      </c>
      <c r="E54" s="7" t="s">
        <v>1454</v>
      </c>
      <c r="F54" s="7"/>
      <c r="G54" s="7" t="n">
        <v>36</v>
      </c>
      <c r="H54" s="7" t="s">
        <v>1455</v>
      </c>
      <c r="I54" s="7" t="s">
        <v>1456</v>
      </c>
      <c r="J54" s="7"/>
      <c r="K54" s="10" t="s">
        <v>1248</v>
      </c>
      <c r="L54" s="10"/>
    </row>
    <row r="55" customFormat="false" ht="15" hidden="false" customHeight="false" outlineLevel="0" collapsed="false">
      <c r="A55" s="7" t="s">
        <v>1457</v>
      </c>
      <c r="B55" s="7" t="s">
        <v>1458</v>
      </c>
      <c r="C55" s="7" t="n">
        <v>202605</v>
      </c>
      <c r="D55" s="7" t="s">
        <v>772</v>
      </c>
      <c r="E55" s="7" t="s">
        <v>1296</v>
      </c>
      <c r="F55" s="7" t="s">
        <v>1459</v>
      </c>
      <c r="G55" s="7" t="n">
        <v>0</v>
      </c>
      <c r="H55" s="7" t="s">
        <v>1460</v>
      </c>
      <c r="I55" s="7" t="s">
        <v>1461</v>
      </c>
      <c r="J55" s="7"/>
      <c r="K55" s="10" t="s">
        <v>1248</v>
      </c>
      <c r="L55" s="10"/>
    </row>
    <row r="56" customFormat="false" ht="35.05" hidden="false" customHeight="false" outlineLevel="0" collapsed="false">
      <c r="A56" s="7" t="s">
        <v>1462</v>
      </c>
      <c r="B56" s="7" t="s">
        <v>1463</v>
      </c>
      <c r="C56" s="7" t="n">
        <v>202605</v>
      </c>
      <c r="D56" s="7" t="s">
        <v>1244</v>
      </c>
      <c r="E56" s="7" t="s">
        <v>1278</v>
      </c>
      <c r="F56" s="7" t="s">
        <v>1464</v>
      </c>
      <c r="G56" s="7" t="n">
        <v>60</v>
      </c>
      <c r="H56" s="7" t="s">
        <v>1465</v>
      </c>
      <c r="I56" s="7" t="s">
        <v>1466</v>
      </c>
      <c r="J56" s="7"/>
      <c r="K56" s="10" t="s">
        <v>1248</v>
      </c>
      <c r="L56" s="10"/>
    </row>
    <row r="57" customFormat="false" ht="35.05" hidden="false" customHeight="false" outlineLevel="0" collapsed="false">
      <c r="A57" s="7" t="s">
        <v>1467</v>
      </c>
      <c r="B57" s="7" t="s">
        <v>1468</v>
      </c>
      <c r="C57" s="7" t="n">
        <v>202605</v>
      </c>
      <c r="D57" s="7" t="s">
        <v>1394</v>
      </c>
      <c r="E57" s="7" t="s">
        <v>1448</v>
      </c>
      <c r="F57" s="7" t="s">
        <v>1469</v>
      </c>
      <c r="G57" s="7" t="n">
        <v>24</v>
      </c>
      <c r="H57" s="7" t="s">
        <v>1470</v>
      </c>
      <c r="I57" s="7"/>
      <c r="J57" s="7"/>
      <c r="K57" s="10" t="s">
        <v>1248</v>
      </c>
      <c r="L57" s="10"/>
    </row>
    <row r="58" customFormat="false" ht="57.45" hidden="false" customHeight="false" outlineLevel="0" collapsed="false">
      <c r="A58" s="7" t="s">
        <v>1471</v>
      </c>
      <c r="B58" s="7" t="s">
        <v>1472</v>
      </c>
      <c r="C58" s="7" t="n">
        <v>202605</v>
      </c>
      <c r="D58" s="7" t="s">
        <v>1473</v>
      </c>
      <c r="E58" s="7" t="s">
        <v>1474</v>
      </c>
      <c r="F58" s="7"/>
      <c r="G58" s="7" t="n">
        <v>30</v>
      </c>
      <c r="H58" s="7" t="s">
        <v>1475</v>
      </c>
      <c r="I58" s="7"/>
      <c r="J58" s="7"/>
      <c r="K58" s="10" t="s">
        <v>1248</v>
      </c>
      <c r="L58" s="10"/>
    </row>
    <row r="59" customFormat="false" ht="23.85" hidden="false" customHeight="false" outlineLevel="0" collapsed="false">
      <c r="A59" s="7" t="s">
        <v>1476</v>
      </c>
      <c r="B59" s="7" t="s">
        <v>1477</v>
      </c>
      <c r="C59" s="7" t="n">
        <v>202605</v>
      </c>
      <c r="D59" s="7" t="s">
        <v>1244</v>
      </c>
      <c r="E59" s="7" t="s">
        <v>1245</v>
      </c>
      <c r="F59" s="7" t="s">
        <v>1478</v>
      </c>
      <c r="G59" s="7" t="n">
        <v>30</v>
      </c>
      <c r="H59" s="7" t="s">
        <v>1479</v>
      </c>
      <c r="I59" s="7"/>
      <c r="J59" s="7"/>
      <c r="K59" s="10" t="s">
        <v>1248</v>
      </c>
      <c r="L59" s="10"/>
    </row>
    <row r="60" customFormat="false" ht="23.85" hidden="false" customHeight="false" outlineLevel="0" collapsed="false">
      <c r="A60" s="7" t="s">
        <v>1480</v>
      </c>
      <c r="B60" s="7" t="s">
        <v>1481</v>
      </c>
      <c r="C60" s="7" t="n">
        <v>202605</v>
      </c>
      <c r="D60" s="7" t="s">
        <v>1257</v>
      </c>
      <c r="E60" s="7" t="s">
        <v>1482</v>
      </c>
      <c r="F60" s="7" t="s">
        <v>1483</v>
      </c>
      <c r="G60" s="7" t="n">
        <v>14</v>
      </c>
      <c r="H60" s="7" t="s">
        <v>1484</v>
      </c>
      <c r="I60" s="7"/>
      <c r="J60" s="7"/>
      <c r="K60" s="10" t="s">
        <v>1248</v>
      </c>
      <c r="L60" s="10"/>
    </row>
    <row r="61" customFormat="false" ht="23.85" hidden="false" customHeight="false" outlineLevel="0" collapsed="false">
      <c r="A61" s="7" t="s">
        <v>1485</v>
      </c>
      <c r="B61" s="7" t="s">
        <v>1486</v>
      </c>
      <c r="C61" s="7" t="n">
        <v>202605</v>
      </c>
      <c r="D61" s="7" t="s">
        <v>1244</v>
      </c>
      <c r="E61" s="7" t="s">
        <v>1487</v>
      </c>
      <c r="F61" s="7" t="s">
        <v>1488</v>
      </c>
      <c r="G61" s="7" t="n">
        <v>60</v>
      </c>
      <c r="H61" s="7" t="s">
        <v>1489</v>
      </c>
      <c r="I61" s="7"/>
      <c r="J61" s="7"/>
      <c r="K61" s="10" t="s">
        <v>1248</v>
      </c>
      <c r="L61" s="10"/>
    </row>
    <row r="62" customFormat="false" ht="23.85" hidden="false" customHeight="false" outlineLevel="0" collapsed="false">
      <c r="A62" s="7" t="s">
        <v>1490</v>
      </c>
      <c r="B62" s="7" t="s">
        <v>1491</v>
      </c>
      <c r="C62" s="7" t="n">
        <v>202605</v>
      </c>
      <c r="D62" s="7" t="s">
        <v>1244</v>
      </c>
      <c r="E62" s="7" t="s">
        <v>1287</v>
      </c>
      <c r="F62" s="7" t="s">
        <v>1444</v>
      </c>
      <c r="G62" s="7" t="n">
        <v>60</v>
      </c>
      <c r="H62" s="7" t="s">
        <v>1492</v>
      </c>
      <c r="I62" s="7"/>
      <c r="J62" s="7"/>
      <c r="K62" s="10" t="s">
        <v>1248</v>
      </c>
      <c r="L62" s="10"/>
    </row>
    <row r="63" customFormat="false" ht="46.25" hidden="false" customHeight="false" outlineLevel="0" collapsed="false">
      <c r="A63" s="7" t="s">
        <v>1493</v>
      </c>
      <c r="B63" s="7" t="s">
        <v>1494</v>
      </c>
      <c r="C63" s="7" t="n">
        <v>202605</v>
      </c>
      <c r="D63" s="7" t="s">
        <v>1244</v>
      </c>
      <c r="E63" s="7" t="s">
        <v>1335</v>
      </c>
      <c r="F63" s="7" t="s">
        <v>1495</v>
      </c>
      <c r="G63" s="7" t="n">
        <v>0</v>
      </c>
      <c r="H63" s="7" t="s">
        <v>1496</v>
      </c>
      <c r="I63" s="7"/>
      <c r="J63" s="7" t="s">
        <v>1248</v>
      </c>
      <c r="K63" s="10" t="s">
        <v>1248</v>
      </c>
      <c r="L63" s="10"/>
    </row>
    <row r="64" customFormat="false" ht="35.05" hidden="false" customHeight="false" outlineLevel="0" collapsed="false">
      <c r="A64" s="7" t="s">
        <v>1497</v>
      </c>
      <c r="B64" s="7" t="s">
        <v>1498</v>
      </c>
      <c r="C64" s="7" t="n">
        <v>202605</v>
      </c>
      <c r="D64" s="7" t="s">
        <v>1257</v>
      </c>
      <c r="E64" s="7" t="s">
        <v>1426</v>
      </c>
      <c r="F64" s="7" t="s">
        <v>1499</v>
      </c>
      <c r="G64" s="7" t="n">
        <v>14</v>
      </c>
      <c r="H64" s="7" t="s">
        <v>1500</v>
      </c>
      <c r="I64" s="7"/>
      <c r="J64" s="7"/>
      <c r="K64" s="10" t="s">
        <v>1248</v>
      </c>
      <c r="L64" s="10"/>
    </row>
    <row r="65" customFormat="false" ht="23.85" hidden="false" customHeight="false" outlineLevel="0" collapsed="false">
      <c r="A65" s="7" t="s">
        <v>1501</v>
      </c>
      <c r="B65" s="7" t="s">
        <v>1502</v>
      </c>
      <c r="C65" s="7" t="n">
        <v>202605</v>
      </c>
      <c r="D65" s="7" t="s">
        <v>1257</v>
      </c>
      <c r="E65" s="7" t="s">
        <v>1432</v>
      </c>
      <c r="F65" s="7" t="s">
        <v>1503</v>
      </c>
      <c r="G65" s="7" t="n">
        <v>7</v>
      </c>
      <c r="H65" s="7" t="s">
        <v>1504</v>
      </c>
      <c r="I65" s="7"/>
      <c r="J65" s="7"/>
      <c r="K65" s="10" t="s">
        <v>1248</v>
      </c>
      <c r="L65" s="10"/>
    </row>
    <row r="66" customFormat="false" ht="46.25" hidden="false" customHeight="false" outlineLevel="0" collapsed="false">
      <c r="A66" s="7" t="s">
        <v>1505</v>
      </c>
      <c r="B66" s="7" t="s">
        <v>1506</v>
      </c>
      <c r="C66" s="7" t="n">
        <v>202605</v>
      </c>
      <c r="D66" s="7" t="s">
        <v>1507</v>
      </c>
      <c r="E66" s="7" t="s">
        <v>1508</v>
      </c>
      <c r="F66" s="7"/>
      <c r="G66" s="7" t="n">
        <v>15</v>
      </c>
      <c r="H66" s="7" t="s">
        <v>1509</v>
      </c>
      <c r="I66" s="7" t="s">
        <v>1510</v>
      </c>
      <c r="J66" s="7"/>
      <c r="K66" s="10" t="s">
        <v>1248</v>
      </c>
      <c r="L66" s="10"/>
    </row>
    <row r="67" customFormat="false" ht="35.05" hidden="false" customHeight="false" outlineLevel="0" collapsed="false">
      <c r="A67" s="7" t="s">
        <v>1511</v>
      </c>
      <c r="B67" s="7" t="s">
        <v>1512</v>
      </c>
      <c r="C67" s="7" t="n">
        <v>202606</v>
      </c>
      <c r="D67" s="7" t="s">
        <v>1244</v>
      </c>
      <c r="E67" s="7" t="s">
        <v>1417</v>
      </c>
      <c r="F67" s="7" t="s">
        <v>1513</v>
      </c>
      <c r="G67" s="7" t="n">
        <v>60</v>
      </c>
      <c r="H67" s="7" t="s">
        <v>1514</v>
      </c>
      <c r="I67" s="7" t="s">
        <v>1515</v>
      </c>
      <c r="J67" s="7"/>
      <c r="K67" s="10" t="s">
        <v>1248</v>
      </c>
      <c r="L67" s="10"/>
    </row>
    <row r="68" customFormat="false" ht="15" hidden="false" customHeight="false" outlineLevel="0" collapsed="false">
      <c r="A68" s="7" t="s">
        <v>1516</v>
      </c>
      <c r="B68" s="7" t="s">
        <v>1517</v>
      </c>
      <c r="C68" s="7" t="n">
        <v>202606</v>
      </c>
      <c r="D68" s="7" t="s">
        <v>772</v>
      </c>
      <c r="E68" s="7" t="s">
        <v>1296</v>
      </c>
      <c r="F68" s="7" t="s">
        <v>1518</v>
      </c>
      <c r="G68" s="7" t="n">
        <v>0</v>
      </c>
      <c r="H68" s="7" t="s">
        <v>1519</v>
      </c>
      <c r="I68" s="7"/>
      <c r="J68" s="7"/>
      <c r="K68" s="10" t="s">
        <v>1248</v>
      </c>
      <c r="L68" s="10"/>
    </row>
    <row r="69" customFormat="false" ht="23.85" hidden="false" customHeight="false" outlineLevel="0" collapsed="false">
      <c r="A69" s="7" t="s">
        <v>1520</v>
      </c>
      <c r="B69" s="7" t="s">
        <v>1521</v>
      </c>
      <c r="C69" s="7" t="n">
        <v>202606</v>
      </c>
      <c r="D69" s="7" t="s">
        <v>1257</v>
      </c>
      <c r="E69" s="7" t="s">
        <v>1522</v>
      </c>
      <c r="F69" s="7" t="s">
        <v>1523</v>
      </c>
      <c r="G69" s="7" t="n">
        <v>14</v>
      </c>
      <c r="H69" s="7" t="s">
        <v>1524</v>
      </c>
      <c r="I69" s="7"/>
      <c r="J69" s="7"/>
      <c r="K69" s="10" t="s">
        <v>1248</v>
      </c>
      <c r="L69" s="10"/>
    </row>
    <row r="70" customFormat="false" ht="23.85" hidden="false" customHeight="false" outlineLevel="0" collapsed="false">
      <c r="A70" s="7" t="s">
        <v>1525</v>
      </c>
      <c r="B70" s="7" t="s">
        <v>1526</v>
      </c>
      <c r="C70" s="7" t="n">
        <v>202606</v>
      </c>
      <c r="D70" s="7" t="s">
        <v>1244</v>
      </c>
      <c r="E70" s="7" t="s">
        <v>1287</v>
      </c>
      <c r="F70" s="7" t="s">
        <v>1527</v>
      </c>
      <c r="G70" s="7" t="n">
        <v>0</v>
      </c>
      <c r="H70" s="7" t="s">
        <v>1528</v>
      </c>
      <c r="I70" s="7" t="s">
        <v>1515</v>
      </c>
      <c r="J70" s="7" t="s">
        <v>1248</v>
      </c>
      <c r="K70" s="10" t="s">
        <v>1248</v>
      </c>
      <c r="L70" s="10"/>
    </row>
    <row r="71" customFormat="false" ht="57.45" hidden="false" customHeight="false" outlineLevel="0" collapsed="false">
      <c r="A71" s="7" t="s">
        <v>1529</v>
      </c>
      <c r="B71" s="7" t="s">
        <v>1530</v>
      </c>
      <c r="C71" s="7" t="n">
        <v>202606</v>
      </c>
      <c r="D71" s="7" t="s">
        <v>1244</v>
      </c>
      <c r="E71" s="7" t="s">
        <v>1454</v>
      </c>
      <c r="F71" s="7" t="s">
        <v>1531</v>
      </c>
      <c r="G71" s="7" t="n">
        <v>120</v>
      </c>
      <c r="H71" s="7" t="s">
        <v>1532</v>
      </c>
      <c r="I71" s="7"/>
      <c r="J71" s="7" t="s">
        <v>1248</v>
      </c>
      <c r="K71" s="10" t="s">
        <v>1248</v>
      </c>
      <c r="L71" s="10"/>
    </row>
    <row r="72" customFormat="false" ht="23.85" hidden="false" customHeight="false" outlineLevel="0" collapsed="false">
      <c r="A72" s="7" t="s">
        <v>1533</v>
      </c>
      <c r="B72" s="7" t="s">
        <v>1534</v>
      </c>
      <c r="C72" s="7" t="n">
        <v>202606</v>
      </c>
      <c r="D72" s="7" t="s">
        <v>1244</v>
      </c>
      <c r="E72" s="7" t="s">
        <v>1287</v>
      </c>
      <c r="F72" s="7" t="s">
        <v>1535</v>
      </c>
      <c r="G72" s="7" t="n">
        <v>30</v>
      </c>
      <c r="H72" s="7" t="s">
        <v>1536</v>
      </c>
      <c r="I72" s="7" t="s">
        <v>1537</v>
      </c>
      <c r="J72" s="7" t="s">
        <v>1248</v>
      </c>
      <c r="K72" s="10" t="s">
        <v>1248</v>
      </c>
      <c r="L72" s="10"/>
    </row>
    <row r="73" customFormat="false" ht="23.85" hidden="false" customHeight="false" outlineLevel="0" collapsed="false">
      <c r="A73" s="7" t="s">
        <v>1538</v>
      </c>
      <c r="B73" s="7" t="s">
        <v>1539</v>
      </c>
      <c r="C73" s="7" t="n">
        <v>202606</v>
      </c>
      <c r="D73" s="7" t="s">
        <v>1244</v>
      </c>
      <c r="E73" s="7" t="s">
        <v>1540</v>
      </c>
      <c r="F73" s="7" t="s">
        <v>1541</v>
      </c>
      <c r="G73" s="7" t="n">
        <v>90</v>
      </c>
      <c r="H73" s="7" t="s">
        <v>1542</v>
      </c>
      <c r="I73" s="7"/>
      <c r="J73" s="7" t="s">
        <v>1248</v>
      </c>
      <c r="K73" s="10" t="s">
        <v>1248</v>
      </c>
      <c r="L73" s="10"/>
    </row>
    <row r="74" customFormat="false" ht="23.85" hidden="false" customHeight="false" outlineLevel="0" collapsed="false">
      <c r="A74" s="7" t="s">
        <v>1543</v>
      </c>
      <c r="B74" s="7" t="s">
        <v>1544</v>
      </c>
      <c r="C74" s="7" t="n">
        <v>202606</v>
      </c>
      <c r="D74" s="7" t="s">
        <v>1244</v>
      </c>
      <c r="E74" s="7" t="s">
        <v>1314</v>
      </c>
      <c r="F74" s="7" t="s">
        <v>1545</v>
      </c>
      <c r="G74" s="7" t="n">
        <v>60</v>
      </c>
      <c r="H74" s="7" t="s">
        <v>1546</v>
      </c>
      <c r="I74" s="7"/>
      <c r="J74" s="7"/>
      <c r="K74" s="10" t="s">
        <v>1248</v>
      </c>
      <c r="L74" s="10"/>
    </row>
    <row r="75" customFormat="false" ht="35.05" hidden="false" customHeight="false" outlineLevel="0" collapsed="false">
      <c r="A75" s="7" t="s">
        <v>1547</v>
      </c>
      <c r="B75" s="7" t="s">
        <v>1548</v>
      </c>
      <c r="C75" s="7" t="n">
        <v>202606</v>
      </c>
      <c r="D75" s="7" t="s">
        <v>1244</v>
      </c>
      <c r="E75" s="7" t="s">
        <v>1314</v>
      </c>
      <c r="F75" s="7" t="s">
        <v>1549</v>
      </c>
      <c r="G75" s="7" t="n">
        <v>60</v>
      </c>
      <c r="H75" s="7" t="s">
        <v>1550</v>
      </c>
      <c r="I75" s="7"/>
      <c r="J75" s="7"/>
      <c r="K75" s="10" t="s">
        <v>1248</v>
      </c>
      <c r="L75" s="10"/>
    </row>
    <row r="76" customFormat="false" ht="35.05" hidden="false" customHeight="false" outlineLevel="0" collapsed="false">
      <c r="A76" s="7" t="s">
        <v>1551</v>
      </c>
      <c r="B76" s="7" t="s">
        <v>1552</v>
      </c>
      <c r="C76" s="7" t="n">
        <v>202606</v>
      </c>
      <c r="D76" s="7" t="s">
        <v>1507</v>
      </c>
      <c r="E76" s="7" t="s">
        <v>1553</v>
      </c>
      <c r="F76" s="7" t="s">
        <v>1554</v>
      </c>
      <c r="G76" s="7" t="n">
        <v>9</v>
      </c>
      <c r="H76" s="7" t="s">
        <v>1555</v>
      </c>
      <c r="I76" s="7"/>
      <c r="J76" s="7"/>
      <c r="K76" s="10" t="s">
        <v>1248</v>
      </c>
      <c r="L76" s="10"/>
    </row>
    <row r="77" customFormat="false" ht="35.05" hidden="false" customHeight="false" outlineLevel="0" collapsed="false">
      <c r="A77" s="7" t="s">
        <v>1556</v>
      </c>
      <c r="B77" s="7" t="s">
        <v>1557</v>
      </c>
      <c r="C77" s="7" t="n">
        <v>202606</v>
      </c>
      <c r="D77" s="7" t="s">
        <v>1244</v>
      </c>
      <c r="E77" s="7" t="s">
        <v>1287</v>
      </c>
      <c r="F77" s="7" t="s">
        <v>1558</v>
      </c>
      <c r="G77" s="7" t="n">
        <v>60</v>
      </c>
      <c r="H77" s="7" t="s">
        <v>1559</v>
      </c>
      <c r="I77" s="7"/>
      <c r="J77" s="7" t="s">
        <v>1248</v>
      </c>
      <c r="K77" s="10" t="s">
        <v>1248</v>
      </c>
      <c r="L77" s="10"/>
    </row>
    <row r="78" customFormat="false" ht="35.05" hidden="false" customHeight="false" outlineLevel="0" collapsed="false">
      <c r="A78" s="7" t="s">
        <v>1560</v>
      </c>
      <c r="B78" s="7" t="s">
        <v>1561</v>
      </c>
      <c r="C78" s="7" t="n">
        <v>202606</v>
      </c>
      <c r="D78" s="7" t="s">
        <v>1244</v>
      </c>
      <c r="E78" s="7" t="s">
        <v>1278</v>
      </c>
      <c r="F78" s="7" t="s">
        <v>1562</v>
      </c>
      <c r="G78" s="7" t="n">
        <v>150</v>
      </c>
      <c r="H78" s="7" t="s">
        <v>1563</v>
      </c>
      <c r="I78" s="7" t="s">
        <v>1564</v>
      </c>
      <c r="J78" s="7" t="s">
        <v>1248</v>
      </c>
      <c r="K78" s="10" t="s">
        <v>1248</v>
      </c>
      <c r="L78" s="10"/>
    </row>
    <row r="79" customFormat="false" ht="46.25" hidden="false" customHeight="false" outlineLevel="0" collapsed="false">
      <c r="A79" s="7" t="s">
        <v>1565</v>
      </c>
      <c r="B79" s="7" t="s">
        <v>1566</v>
      </c>
      <c r="C79" s="7" t="n">
        <v>202606</v>
      </c>
      <c r="D79" s="7" t="s">
        <v>1244</v>
      </c>
      <c r="E79" s="7" t="s">
        <v>1314</v>
      </c>
      <c r="F79" s="7" t="s">
        <v>1567</v>
      </c>
      <c r="G79" s="7" t="n">
        <v>60</v>
      </c>
      <c r="H79" s="7" t="s">
        <v>1568</v>
      </c>
      <c r="I79" s="7"/>
      <c r="J79" s="7"/>
      <c r="K79" s="10" t="s">
        <v>1248</v>
      </c>
      <c r="L79" s="10"/>
    </row>
    <row r="80" customFormat="false" ht="35.05" hidden="false" customHeight="false" outlineLevel="0" collapsed="false">
      <c r="A80" s="7" t="s">
        <v>1569</v>
      </c>
      <c r="B80" s="7" t="s">
        <v>1570</v>
      </c>
      <c r="C80" s="7" t="n">
        <v>202607</v>
      </c>
      <c r="D80" s="7" t="s">
        <v>1394</v>
      </c>
      <c r="E80" s="7" t="s">
        <v>1448</v>
      </c>
      <c r="F80" s="7" t="s">
        <v>1571</v>
      </c>
      <c r="G80" s="7" t="n">
        <v>186</v>
      </c>
      <c r="H80" s="7" t="s">
        <v>1572</v>
      </c>
      <c r="I80" s="7" t="s">
        <v>1573</v>
      </c>
      <c r="J80" s="7"/>
      <c r="K80" s="10" t="s">
        <v>1248</v>
      </c>
      <c r="L80" s="10"/>
    </row>
    <row r="81" customFormat="false" ht="23.85" hidden="false" customHeight="false" outlineLevel="0" collapsed="false">
      <c r="A81" s="7" t="s">
        <v>1574</v>
      </c>
      <c r="B81" s="7" t="s">
        <v>1575</v>
      </c>
      <c r="C81" s="7" t="n">
        <v>202607</v>
      </c>
      <c r="D81" s="7" t="s">
        <v>1244</v>
      </c>
      <c r="E81" s="7" t="s">
        <v>1454</v>
      </c>
      <c r="F81" s="7" t="s">
        <v>1576</v>
      </c>
      <c r="G81" s="7" t="n">
        <v>59</v>
      </c>
      <c r="H81" s="7" t="s">
        <v>1577</v>
      </c>
      <c r="I81" s="7"/>
      <c r="J81" s="7" t="s">
        <v>1248</v>
      </c>
      <c r="K81" s="10" t="s">
        <v>1248</v>
      </c>
      <c r="L81" s="10"/>
    </row>
    <row r="82" customFormat="false" ht="23.85" hidden="false" customHeight="false" outlineLevel="0" collapsed="false">
      <c r="A82" s="7" t="s">
        <v>1578</v>
      </c>
      <c r="B82" s="7" t="s">
        <v>1579</v>
      </c>
      <c r="C82" s="7" t="n">
        <v>202607</v>
      </c>
      <c r="D82" s="7" t="s">
        <v>1580</v>
      </c>
      <c r="E82" s="7" t="s">
        <v>1581</v>
      </c>
      <c r="F82" s="7" t="s">
        <v>1582</v>
      </c>
      <c r="G82" s="7" t="n">
        <v>24</v>
      </c>
      <c r="H82" s="7" t="s">
        <v>1583</v>
      </c>
      <c r="I82" s="7" t="s">
        <v>1584</v>
      </c>
      <c r="J82" s="7"/>
      <c r="K82" s="10" t="s">
        <v>1248</v>
      </c>
      <c r="L82" s="10"/>
    </row>
    <row r="83" customFormat="false" ht="35.05" hidden="false" customHeight="false" outlineLevel="0" collapsed="false">
      <c r="A83" s="7" t="s">
        <v>1585</v>
      </c>
      <c r="B83" s="7" t="s">
        <v>1586</v>
      </c>
      <c r="C83" s="7" t="n">
        <v>202607</v>
      </c>
      <c r="D83" s="7" t="s">
        <v>1587</v>
      </c>
      <c r="E83" s="7" t="s">
        <v>1588</v>
      </c>
      <c r="F83" s="7" t="s">
        <v>1589</v>
      </c>
      <c r="G83" s="7" t="n">
        <v>69</v>
      </c>
      <c r="H83" s="7" t="s">
        <v>1590</v>
      </c>
      <c r="I83" s="7" t="s">
        <v>1591</v>
      </c>
      <c r="J83" s="7"/>
      <c r="K83" s="10" t="s">
        <v>1248</v>
      </c>
      <c r="L83" s="10"/>
    </row>
    <row r="84" customFormat="false" ht="15" hidden="false" customHeight="false" outlineLevel="0" collapsed="false">
      <c r="A84" s="7" t="s">
        <v>1592</v>
      </c>
      <c r="B84" s="7" t="s">
        <v>1593</v>
      </c>
      <c r="C84" s="7" t="n">
        <v>202607</v>
      </c>
      <c r="D84" s="7" t="s">
        <v>1244</v>
      </c>
      <c r="E84" s="7" t="s">
        <v>1314</v>
      </c>
      <c r="F84" s="7" t="s">
        <v>1594</v>
      </c>
      <c r="G84" s="7" t="n">
        <v>67</v>
      </c>
      <c r="H84" s="7" t="s">
        <v>1595</v>
      </c>
      <c r="I84" s="7" t="s">
        <v>1596</v>
      </c>
      <c r="J84" s="7" t="s">
        <v>1248</v>
      </c>
      <c r="K84" s="10" t="s">
        <v>1248</v>
      </c>
      <c r="L84" s="10"/>
    </row>
    <row r="85" customFormat="false" ht="15" hidden="false" customHeight="false" outlineLevel="0" collapsed="false">
      <c r="A85" s="7" t="s">
        <v>1597</v>
      </c>
      <c r="B85" s="7" t="s">
        <v>1598</v>
      </c>
      <c r="C85" s="7" t="n">
        <v>202607</v>
      </c>
      <c r="D85" s="7" t="s">
        <v>1244</v>
      </c>
      <c r="E85" s="7" t="s">
        <v>1314</v>
      </c>
      <c r="F85" s="7" t="s">
        <v>1599</v>
      </c>
      <c r="G85" s="7" t="n">
        <v>120</v>
      </c>
      <c r="H85" s="7" t="s">
        <v>1600</v>
      </c>
      <c r="I85" s="7" t="s">
        <v>1601</v>
      </c>
      <c r="J85" s="7" t="s">
        <v>1248</v>
      </c>
      <c r="K85" s="10" t="s">
        <v>1248</v>
      </c>
      <c r="L85" s="10"/>
    </row>
    <row r="86" customFormat="false" ht="15" hidden="false" customHeight="false" outlineLevel="0" collapsed="false">
      <c r="A86" s="7" t="s">
        <v>1602</v>
      </c>
      <c r="B86" s="7" t="s">
        <v>1603</v>
      </c>
      <c r="C86" s="7" t="n">
        <v>202607</v>
      </c>
      <c r="D86" s="7" t="s">
        <v>1244</v>
      </c>
      <c r="E86" s="7" t="s">
        <v>1314</v>
      </c>
      <c r="F86" s="7" t="s">
        <v>1604</v>
      </c>
      <c r="G86" s="7" t="n">
        <v>66</v>
      </c>
      <c r="H86" s="7" t="s">
        <v>1605</v>
      </c>
      <c r="I86" s="7"/>
      <c r="J86" s="7" t="s">
        <v>1248</v>
      </c>
      <c r="K86" s="10" t="s">
        <v>1248</v>
      </c>
      <c r="L86" s="10"/>
    </row>
    <row r="87" customFormat="false" ht="46.25" hidden="false" customHeight="false" outlineLevel="0" collapsed="false">
      <c r="A87" s="7" t="s">
        <v>1606</v>
      </c>
      <c r="B87" s="7" t="s">
        <v>1607</v>
      </c>
      <c r="C87" s="7" t="n">
        <v>202607</v>
      </c>
      <c r="D87" s="7" t="s">
        <v>1257</v>
      </c>
      <c r="E87" s="7" t="s">
        <v>1608</v>
      </c>
      <c r="F87" s="7" t="s">
        <v>1609</v>
      </c>
      <c r="G87" s="7" t="n">
        <v>7</v>
      </c>
      <c r="H87" s="7" t="s">
        <v>1610</v>
      </c>
      <c r="I87" s="7"/>
      <c r="J87" s="7"/>
      <c r="K87" s="10" t="s">
        <v>1248</v>
      </c>
      <c r="L87" s="10"/>
    </row>
    <row r="88" customFormat="false" ht="68.65" hidden="false" customHeight="false" outlineLevel="0" collapsed="false">
      <c r="A88" s="7" t="s">
        <v>1611</v>
      </c>
      <c r="B88" s="7" t="s">
        <v>1612</v>
      </c>
      <c r="C88" s="7" t="n">
        <v>202607</v>
      </c>
      <c r="D88" s="7" t="s">
        <v>1587</v>
      </c>
      <c r="E88" s="7" t="s">
        <v>1588</v>
      </c>
      <c r="F88" s="7" t="s">
        <v>1613</v>
      </c>
      <c r="G88" s="7" t="n">
        <v>0</v>
      </c>
      <c r="H88" s="7" t="s">
        <v>1614</v>
      </c>
      <c r="I88" s="7"/>
      <c r="J88" s="7"/>
      <c r="K88" s="10" t="s">
        <v>1248</v>
      </c>
      <c r="L88" s="10"/>
    </row>
    <row r="89" customFormat="false" ht="68.65" hidden="false" customHeight="false" outlineLevel="0" collapsed="false">
      <c r="A89" s="7" t="s">
        <v>1615</v>
      </c>
      <c r="B89" s="7" t="s">
        <v>1616</v>
      </c>
      <c r="C89" s="7" t="n">
        <v>202607</v>
      </c>
      <c r="D89" s="7" t="s">
        <v>1587</v>
      </c>
      <c r="E89" s="7" t="s">
        <v>1588</v>
      </c>
      <c r="F89" s="7" t="s">
        <v>1613</v>
      </c>
      <c r="G89" s="7" t="n">
        <v>60</v>
      </c>
      <c r="H89" s="7" t="s">
        <v>1614</v>
      </c>
      <c r="I89" s="7" t="s">
        <v>1617</v>
      </c>
      <c r="J89" s="7"/>
      <c r="K89" s="10" t="s">
        <v>1248</v>
      </c>
      <c r="L89" s="10"/>
    </row>
    <row r="90" customFormat="false" ht="15" hidden="false" customHeight="false" outlineLevel="0" collapsed="false">
      <c r="A90" s="7" t="s">
        <v>1618</v>
      </c>
      <c r="B90" s="7" t="s">
        <v>1619</v>
      </c>
      <c r="C90" s="7" t="n">
        <v>202607</v>
      </c>
      <c r="D90" s="7" t="s">
        <v>1244</v>
      </c>
      <c r="E90" s="7" t="s">
        <v>1335</v>
      </c>
      <c r="F90" s="7" t="s">
        <v>1620</v>
      </c>
      <c r="G90" s="7" t="n">
        <v>0</v>
      </c>
      <c r="H90" s="7" t="s">
        <v>1621</v>
      </c>
      <c r="I90" s="7"/>
      <c r="J90" s="7" t="s">
        <v>1248</v>
      </c>
      <c r="K90" s="10" t="s">
        <v>1248</v>
      </c>
      <c r="L90" s="10"/>
    </row>
    <row r="91" customFormat="false" ht="35.05" hidden="false" customHeight="false" outlineLevel="0" collapsed="false">
      <c r="A91" s="7" t="s">
        <v>1622</v>
      </c>
      <c r="B91" s="7" t="s">
        <v>1623</v>
      </c>
      <c r="C91" s="7" t="n">
        <v>202607</v>
      </c>
      <c r="D91" s="7" t="s">
        <v>1244</v>
      </c>
      <c r="E91" s="7" t="s">
        <v>1487</v>
      </c>
      <c r="F91" s="7" t="s">
        <v>1624</v>
      </c>
      <c r="G91" s="7" t="n">
        <v>30</v>
      </c>
      <c r="H91" s="7" t="s">
        <v>1625</v>
      </c>
      <c r="I91" s="7" t="s">
        <v>1626</v>
      </c>
      <c r="J91" s="7" t="s">
        <v>1248</v>
      </c>
      <c r="K91" s="10" t="s">
        <v>1248</v>
      </c>
      <c r="L91" s="10"/>
    </row>
    <row r="92" customFormat="false" ht="15" hidden="false" customHeight="false" outlineLevel="0" collapsed="false">
      <c r="A92" s="7" t="s">
        <v>1627</v>
      </c>
      <c r="B92" s="7" t="s">
        <v>1628</v>
      </c>
      <c r="C92" s="7" t="n">
        <v>202607</v>
      </c>
      <c r="D92" s="7" t="s">
        <v>1244</v>
      </c>
      <c r="E92" s="7" t="s">
        <v>1314</v>
      </c>
      <c r="F92" s="7" t="s">
        <v>1629</v>
      </c>
      <c r="G92" s="7" t="n">
        <v>120</v>
      </c>
      <c r="H92" s="7" t="s">
        <v>1630</v>
      </c>
      <c r="I92" s="7" t="s">
        <v>1631</v>
      </c>
      <c r="J92" s="7"/>
      <c r="K92" s="10" t="s">
        <v>1248</v>
      </c>
      <c r="L92" s="10"/>
    </row>
    <row r="93" customFormat="false" ht="102.2" hidden="false" customHeight="false" outlineLevel="0" collapsed="false">
      <c r="A93" s="7" t="s">
        <v>1632</v>
      </c>
      <c r="B93" s="7" t="s">
        <v>1633</v>
      </c>
      <c r="C93" s="7" t="n">
        <v>202608</v>
      </c>
      <c r="D93" s="7" t="s">
        <v>1305</v>
      </c>
      <c r="E93" s="7" t="s">
        <v>1634</v>
      </c>
      <c r="F93" s="7" t="s">
        <v>1635</v>
      </c>
      <c r="G93" s="7" t="n">
        <v>120</v>
      </c>
      <c r="H93" s="7" t="s">
        <v>1636</v>
      </c>
      <c r="I93" s="7" t="s">
        <v>1637</v>
      </c>
      <c r="J93" s="7"/>
      <c r="K93" s="10" t="s">
        <v>1248</v>
      </c>
      <c r="L93" s="10"/>
    </row>
    <row r="94" customFormat="false" ht="15" hidden="false" customHeight="false" outlineLevel="0" collapsed="false">
      <c r="A94" s="7" t="s">
        <v>1638</v>
      </c>
      <c r="B94" s="7" t="s">
        <v>1639</v>
      </c>
      <c r="C94" s="7" t="n">
        <v>202608</v>
      </c>
      <c r="D94" s="7" t="s">
        <v>1244</v>
      </c>
      <c r="E94" s="7" t="s">
        <v>1314</v>
      </c>
      <c r="F94" s="7" t="s">
        <v>1640</v>
      </c>
      <c r="G94" s="7" t="n">
        <v>90</v>
      </c>
      <c r="H94" s="7" t="s">
        <v>1641</v>
      </c>
      <c r="I94" s="7"/>
      <c r="J94" s="7"/>
      <c r="K94" s="10" t="s">
        <v>1248</v>
      </c>
      <c r="L94" s="10"/>
    </row>
    <row r="95" customFormat="false" ht="46.25" hidden="false" customHeight="false" outlineLevel="0" collapsed="false">
      <c r="A95" s="7" t="s">
        <v>1642</v>
      </c>
      <c r="B95" s="7" t="s">
        <v>1643</v>
      </c>
      <c r="C95" s="7" t="n">
        <v>202608</v>
      </c>
      <c r="D95" s="7" t="s">
        <v>1244</v>
      </c>
      <c r="E95" s="7" t="s">
        <v>1245</v>
      </c>
      <c r="F95" s="7" t="s">
        <v>1644</v>
      </c>
      <c r="G95" s="7" t="n">
        <v>60</v>
      </c>
      <c r="H95" s="7" t="s">
        <v>1645</v>
      </c>
      <c r="I95" s="7"/>
      <c r="J95" s="7" t="s">
        <v>1248</v>
      </c>
      <c r="K95" s="10" t="s">
        <v>1248</v>
      </c>
      <c r="L95" s="10"/>
    </row>
    <row r="96" customFormat="false" ht="23.85" hidden="false" customHeight="false" outlineLevel="0" collapsed="false">
      <c r="A96" s="7" t="s">
        <v>1646</v>
      </c>
      <c r="B96" s="7" t="s">
        <v>1647</v>
      </c>
      <c r="C96" s="7" t="n">
        <v>202608</v>
      </c>
      <c r="D96" s="7" t="s">
        <v>772</v>
      </c>
      <c r="E96" s="7" t="s">
        <v>1296</v>
      </c>
      <c r="F96" s="7" t="s">
        <v>1648</v>
      </c>
      <c r="G96" s="7" t="n">
        <v>7</v>
      </c>
      <c r="H96" s="7" t="s">
        <v>1649</v>
      </c>
      <c r="I96" s="7"/>
      <c r="J96" s="7"/>
      <c r="K96" s="10" t="s">
        <v>1248</v>
      </c>
      <c r="L96" s="10"/>
    </row>
    <row r="97" customFormat="false" ht="23.85" hidden="false" customHeight="false" outlineLevel="0" collapsed="false">
      <c r="A97" s="7" t="s">
        <v>1650</v>
      </c>
      <c r="B97" s="7" t="s">
        <v>1651</v>
      </c>
      <c r="C97" s="7" t="n">
        <v>202608</v>
      </c>
      <c r="D97" s="7" t="s">
        <v>772</v>
      </c>
      <c r="E97" s="7" t="s">
        <v>1296</v>
      </c>
      <c r="F97" s="7" t="s">
        <v>1652</v>
      </c>
      <c r="G97" s="7" t="n">
        <v>7</v>
      </c>
      <c r="H97" s="7" t="s">
        <v>1653</v>
      </c>
      <c r="I97" s="7"/>
      <c r="J97" s="7"/>
      <c r="K97" s="10" t="s">
        <v>1248</v>
      </c>
      <c r="L97" s="10"/>
    </row>
    <row r="98" customFormat="false" ht="35.05" hidden="false" customHeight="false" outlineLevel="0" collapsed="false">
      <c r="A98" s="7" t="s">
        <v>1654</v>
      </c>
      <c r="B98" s="7" t="s">
        <v>1655</v>
      </c>
      <c r="C98" s="7" t="n">
        <v>202608</v>
      </c>
      <c r="D98" s="7" t="s">
        <v>1394</v>
      </c>
      <c r="E98" s="7" t="s">
        <v>1448</v>
      </c>
      <c r="F98" s="7" t="s">
        <v>1656</v>
      </c>
      <c r="G98" s="7" t="n">
        <v>9</v>
      </c>
      <c r="H98" s="7" t="s">
        <v>1657</v>
      </c>
      <c r="I98" s="7"/>
      <c r="J98" s="7"/>
      <c r="K98" s="10" t="s">
        <v>1248</v>
      </c>
      <c r="L98" s="10"/>
    </row>
    <row r="99" customFormat="false" ht="23.85" hidden="false" customHeight="false" outlineLevel="0" collapsed="false">
      <c r="A99" s="7" t="s">
        <v>1658</v>
      </c>
      <c r="B99" s="7" t="s">
        <v>1659</v>
      </c>
      <c r="C99" s="7" t="n">
        <v>202608</v>
      </c>
      <c r="D99" s="7" t="s">
        <v>1244</v>
      </c>
      <c r="E99" s="7" t="s">
        <v>1660</v>
      </c>
      <c r="F99" s="7" t="s">
        <v>1661</v>
      </c>
      <c r="G99" s="7" t="n">
        <v>7</v>
      </c>
      <c r="H99" s="7" t="s">
        <v>1662</v>
      </c>
      <c r="I99" s="7" t="s">
        <v>1663</v>
      </c>
      <c r="J99" s="7"/>
      <c r="K99" s="10" t="s">
        <v>1248</v>
      </c>
      <c r="L99" s="10"/>
    </row>
    <row r="100" customFormat="false" ht="15" hidden="false" customHeight="false" outlineLevel="0" collapsed="false">
      <c r="A100" s="7" t="s">
        <v>1664</v>
      </c>
      <c r="B100" s="7" t="s">
        <v>1665</v>
      </c>
      <c r="C100" s="7" t="n">
        <v>202608</v>
      </c>
      <c r="D100" s="7" t="s">
        <v>1244</v>
      </c>
      <c r="E100" s="7" t="s">
        <v>1417</v>
      </c>
      <c r="F100" s="7" t="s">
        <v>1666</v>
      </c>
      <c r="G100" s="7" t="n">
        <v>480</v>
      </c>
      <c r="H100" s="7" t="s">
        <v>1667</v>
      </c>
      <c r="I100" s="7" t="s">
        <v>1668</v>
      </c>
      <c r="J100" s="7" t="s">
        <v>1248</v>
      </c>
      <c r="K100" s="10" t="s">
        <v>1248</v>
      </c>
      <c r="L100" s="10"/>
    </row>
    <row r="101" customFormat="false" ht="35.05" hidden="false" customHeight="false" outlineLevel="0" collapsed="false">
      <c r="A101" s="7" t="s">
        <v>1669</v>
      </c>
      <c r="B101" s="7" t="s">
        <v>1670</v>
      </c>
      <c r="C101" s="7" t="n">
        <v>202609</v>
      </c>
      <c r="D101" s="7" t="s">
        <v>772</v>
      </c>
      <c r="E101" s="7" t="s">
        <v>1296</v>
      </c>
      <c r="F101" s="7" t="s">
        <v>1671</v>
      </c>
      <c r="G101" s="7" t="n">
        <v>14</v>
      </c>
      <c r="H101" s="7" t="s">
        <v>1672</v>
      </c>
      <c r="I101" s="7" t="s">
        <v>1673</v>
      </c>
      <c r="J101" s="7"/>
      <c r="K101" s="10" t="s">
        <v>1248</v>
      </c>
      <c r="L101" s="10"/>
    </row>
    <row r="102" customFormat="false" ht="15" hidden="false" customHeight="false" outlineLevel="0" collapsed="false">
      <c r="A102" s="7" t="s">
        <v>1674</v>
      </c>
      <c r="B102" s="7" t="s">
        <v>1675</v>
      </c>
      <c r="C102" s="7" t="n">
        <v>202609</v>
      </c>
      <c r="D102" s="7" t="s">
        <v>1244</v>
      </c>
      <c r="E102" s="7" t="s">
        <v>1245</v>
      </c>
      <c r="F102" s="7" t="s">
        <v>1676</v>
      </c>
      <c r="G102" s="7" t="n">
        <v>4</v>
      </c>
      <c r="H102" s="7" t="s">
        <v>1677</v>
      </c>
      <c r="I102" s="7" t="s">
        <v>1678</v>
      </c>
      <c r="J102" s="7" t="s">
        <v>1248</v>
      </c>
      <c r="K102" s="10" t="s">
        <v>1248</v>
      </c>
      <c r="L102" s="10"/>
    </row>
    <row r="103" customFormat="false" ht="57.45" hidden="false" customHeight="false" outlineLevel="0" collapsed="false">
      <c r="A103" s="7" t="s">
        <v>1679</v>
      </c>
      <c r="B103" s="7" t="s">
        <v>1680</v>
      </c>
      <c r="C103" s="7" t="n">
        <v>202609</v>
      </c>
      <c r="D103" s="7" t="s">
        <v>1257</v>
      </c>
      <c r="E103" s="7" t="s">
        <v>1432</v>
      </c>
      <c r="F103" s="7" t="s">
        <v>1681</v>
      </c>
      <c r="G103" s="7" t="n">
        <v>14</v>
      </c>
      <c r="H103" s="7" t="s">
        <v>1682</v>
      </c>
      <c r="I103" s="7" t="s">
        <v>1683</v>
      </c>
      <c r="J103" s="7"/>
      <c r="K103" s="10" t="s">
        <v>1248</v>
      </c>
      <c r="L103" s="10"/>
    </row>
    <row r="104" customFormat="false" ht="15" hidden="false" customHeight="false" outlineLevel="0" collapsed="false">
      <c r="A104" s="7" t="s">
        <v>1684</v>
      </c>
      <c r="B104" s="7" t="s">
        <v>1685</v>
      </c>
      <c r="C104" s="7" t="n">
        <v>202609</v>
      </c>
      <c r="D104" s="7" t="s">
        <v>772</v>
      </c>
      <c r="E104" s="7" t="s">
        <v>1296</v>
      </c>
      <c r="F104" s="7" t="s">
        <v>1686</v>
      </c>
      <c r="G104" s="7" t="n">
        <v>36</v>
      </c>
      <c r="H104" s="7" t="s">
        <v>1687</v>
      </c>
      <c r="I104" s="7" t="s">
        <v>1515</v>
      </c>
      <c r="J104" s="7"/>
      <c r="K104" s="10" t="s">
        <v>1248</v>
      </c>
      <c r="L104" s="10"/>
    </row>
    <row r="105" customFormat="false" ht="46.25" hidden="false" customHeight="false" outlineLevel="0" collapsed="false">
      <c r="A105" s="7" t="s">
        <v>1688</v>
      </c>
      <c r="B105" s="7" t="s">
        <v>1689</v>
      </c>
      <c r="C105" s="7" t="n">
        <v>202609</v>
      </c>
      <c r="D105" s="7" t="s">
        <v>772</v>
      </c>
      <c r="E105" s="7" t="s">
        <v>1296</v>
      </c>
      <c r="F105" s="7" t="s">
        <v>1690</v>
      </c>
      <c r="G105" s="7" t="n">
        <v>14</v>
      </c>
      <c r="H105" s="7" t="s">
        <v>1691</v>
      </c>
      <c r="I105" s="7" t="s">
        <v>1692</v>
      </c>
      <c r="J105" s="7"/>
      <c r="K105" s="10" t="s">
        <v>1248</v>
      </c>
      <c r="L105" s="10"/>
    </row>
    <row r="106" customFormat="false" ht="35.05" hidden="false" customHeight="false" outlineLevel="0" collapsed="false">
      <c r="A106" s="7" t="s">
        <v>1693</v>
      </c>
      <c r="B106" s="7" t="s">
        <v>1694</v>
      </c>
      <c r="C106" s="7" t="n">
        <v>202609</v>
      </c>
      <c r="D106" s="7" t="s">
        <v>1244</v>
      </c>
      <c r="E106" s="7" t="s">
        <v>1314</v>
      </c>
      <c r="F106" s="7" t="s">
        <v>1695</v>
      </c>
      <c r="G106" s="7" t="n">
        <v>120</v>
      </c>
      <c r="H106" s="7" t="s">
        <v>1696</v>
      </c>
      <c r="I106" s="7" t="s">
        <v>1697</v>
      </c>
      <c r="J106" s="7"/>
      <c r="K106" s="10" t="s">
        <v>1248</v>
      </c>
      <c r="L106" s="10"/>
    </row>
    <row r="107" customFormat="false" ht="23.85" hidden="false" customHeight="false" outlineLevel="0" collapsed="false">
      <c r="A107" s="7" t="s">
        <v>1698</v>
      </c>
      <c r="B107" s="7" t="s">
        <v>1699</v>
      </c>
      <c r="C107" s="7" t="n">
        <v>202609</v>
      </c>
      <c r="D107" s="7" t="s">
        <v>1244</v>
      </c>
      <c r="E107" s="7" t="s">
        <v>1245</v>
      </c>
      <c r="F107" s="7" t="s">
        <v>1700</v>
      </c>
      <c r="G107" s="7" t="n">
        <v>90</v>
      </c>
      <c r="H107" s="7" t="s">
        <v>1701</v>
      </c>
      <c r="I107" s="7"/>
      <c r="J107" s="7" t="s">
        <v>1248</v>
      </c>
      <c r="K107" s="10" t="s">
        <v>1248</v>
      </c>
      <c r="L107" s="10"/>
    </row>
    <row r="108" customFormat="false" ht="15" hidden="false" customHeight="false" outlineLevel="0" collapsed="false">
      <c r="A108" s="7" t="s">
        <v>1702</v>
      </c>
      <c r="B108" s="7" t="s">
        <v>1703</v>
      </c>
      <c r="C108" s="7" t="n">
        <v>202609</v>
      </c>
      <c r="D108" s="7" t="s">
        <v>1244</v>
      </c>
      <c r="E108" s="7" t="s">
        <v>1540</v>
      </c>
      <c r="F108" s="7" t="s">
        <v>1704</v>
      </c>
      <c r="G108" s="7" t="n">
        <v>0</v>
      </c>
      <c r="H108" s="7" t="s">
        <v>1705</v>
      </c>
      <c r="I108" s="7"/>
      <c r="J108" s="7"/>
      <c r="K108" s="10" t="s">
        <v>1248</v>
      </c>
      <c r="L108" s="10"/>
    </row>
    <row r="109" customFormat="false" ht="23.85" hidden="false" customHeight="false" outlineLevel="0" collapsed="false">
      <c r="A109" s="7" t="s">
        <v>1706</v>
      </c>
      <c r="B109" s="7" t="s">
        <v>1707</v>
      </c>
      <c r="C109" s="7" t="n">
        <v>202609</v>
      </c>
      <c r="D109" s="7" t="s">
        <v>1244</v>
      </c>
      <c r="E109" s="7" t="s">
        <v>1454</v>
      </c>
      <c r="F109" s="7" t="s">
        <v>1708</v>
      </c>
      <c r="G109" s="7" t="n">
        <v>15</v>
      </c>
      <c r="H109" s="7" t="s">
        <v>1709</v>
      </c>
      <c r="I109" s="7"/>
      <c r="J109" s="7" t="s">
        <v>1248</v>
      </c>
      <c r="K109" s="10" t="s">
        <v>1248</v>
      </c>
      <c r="L109" s="10"/>
    </row>
    <row r="110" customFormat="false" ht="23.85" hidden="false" customHeight="false" outlineLevel="0" collapsed="false">
      <c r="A110" s="7" t="s">
        <v>1710</v>
      </c>
      <c r="B110" s="7" t="s">
        <v>1711</v>
      </c>
      <c r="C110" s="7" t="n">
        <v>202609</v>
      </c>
      <c r="D110" s="7" t="s">
        <v>772</v>
      </c>
      <c r="E110" s="7" t="s">
        <v>1296</v>
      </c>
      <c r="F110" s="7" t="s">
        <v>1712</v>
      </c>
      <c r="G110" s="7" t="n">
        <v>22</v>
      </c>
      <c r="H110" s="7" t="s">
        <v>1713</v>
      </c>
      <c r="I110" s="7" t="s">
        <v>1714</v>
      </c>
      <c r="J110" s="7"/>
      <c r="K110" s="10" t="s">
        <v>1248</v>
      </c>
      <c r="L110" s="10"/>
    </row>
    <row r="111" customFormat="false" ht="46.25" hidden="false" customHeight="false" outlineLevel="0" collapsed="false">
      <c r="A111" s="7" t="s">
        <v>1715</v>
      </c>
      <c r="B111" s="7" t="s">
        <v>1716</v>
      </c>
      <c r="C111" s="7" t="n">
        <v>202609</v>
      </c>
      <c r="D111" s="7" t="s">
        <v>1507</v>
      </c>
      <c r="E111" s="7" t="s">
        <v>1508</v>
      </c>
      <c r="F111" s="7"/>
      <c r="G111" s="7" t="n">
        <v>15</v>
      </c>
      <c r="H111" s="7" t="s">
        <v>1717</v>
      </c>
      <c r="I111" s="7"/>
      <c r="J111" s="7"/>
      <c r="K111" s="10" t="s">
        <v>1248</v>
      </c>
      <c r="L111" s="10"/>
    </row>
    <row r="112" customFormat="false" ht="46.25" hidden="false" customHeight="false" outlineLevel="0" collapsed="false">
      <c r="A112" s="7" t="s">
        <v>1718</v>
      </c>
      <c r="B112" s="7" t="s">
        <v>1719</v>
      </c>
      <c r="C112" s="7" t="n">
        <v>202609</v>
      </c>
      <c r="D112" s="7" t="s">
        <v>1244</v>
      </c>
      <c r="E112" s="7" t="s">
        <v>1487</v>
      </c>
      <c r="F112" s="7" t="s">
        <v>1720</v>
      </c>
      <c r="G112" s="7" t="n">
        <v>15</v>
      </c>
      <c r="H112" s="7" t="s">
        <v>1721</v>
      </c>
      <c r="I112" s="7" t="s">
        <v>1722</v>
      </c>
      <c r="J112" s="7" t="s">
        <v>1248</v>
      </c>
      <c r="K112" s="10" t="s">
        <v>1248</v>
      </c>
      <c r="L112" s="10"/>
    </row>
    <row r="113" customFormat="false" ht="79.85" hidden="false" customHeight="false" outlineLevel="0" collapsed="false">
      <c r="A113" s="7" t="s">
        <v>1723</v>
      </c>
      <c r="B113" s="7" t="s">
        <v>1724</v>
      </c>
      <c r="C113" s="7" t="n">
        <v>202609</v>
      </c>
      <c r="D113" s="7" t="s">
        <v>1257</v>
      </c>
      <c r="E113" s="7" t="s">
        <v>1273</v>
      </c>
      <c r="F113" s="7" t="s">
        <v>1725</v>
      </c>
      <c r="G113" s="7" t="n">
        <v>22</v>
      </c>
      <c r="H113" s="7" t="s">
        <v>1726</v>
      </c>
      <c r="I113" s="7"/>
      <c r="J113" s="7"/>
      <c r="K113" s="10" t="s">
        <v>1248</v>
      </c>
      <c r="L113" s="10"/>
    </row>
    <row r="114" customFormat="false" ht="46.25" hidden="false" customHeight="false" outlineLevel="0" collapsed="false">
      <c r="A114" s="7" t="s">
        <v>1727</v>
      </c>
      <c r="B114" s="7" t="s">
        <v>1728</v>
      </c>
      <c r="C114" s="7" t="n">
        <v>202609</v>
      </c>
      <c r="D114" s="7" t="s">
        <v>1257</v>
      </c>
      <c r="E114" s="7" t="s">
        <v>1273</v>
      </c>
      <c r="F114" s="7" t="s">
        <v>1725</v>
      </c>
      <c r="G114" s="7" t="n">
        <v>0</v>
      </c>
      <c r="H114" s="7" t="s">
        <v>1729</v>
      </c>
      <c r="I114" s="7"/>
      <c r="J114" s="7"/>
      <c r="K114" s="10" t="s">
        <v>1248</v>
      </c>
      <c r="L114" s="10"/>
    </row>
    <row r="115" customFormat="false" ht="15" hidden="false" customHeight="false" outlineLevel="0" collapsed="false">
      <c r="A115" s="13" t="s">
        <v>1730</v>
      </c>
      <c r="B115" s="13" t="str">
        <f aca="false">COUNTIF(K7:K114,"&lt;&gt;N")&amp;" aléas"</f>
        <v>108 aléas</v>
      </c>
      <c r="C115" s="14"/>
      <c r="D115" s="14"/>
      <c r="E115" s="14"/>
      <c r="F115" s="14"/>
      <c r="G115" s="30" t="n">
        <f aca="false">SUMIFS(G7:G114,K7:K114,"&lt;&gt;N")</f>
        <v>5472</v>
      </c>
      <c r="H115" s="14"/>
      <c r="I115" s="14"/>
      <c r="J115" s="14"/>
      <c r="K115" s="14"/>
      <c r="L115" s="14"/>
    </row>
  </sheetData>
  <autoFilter ref="A6:L114"/>
  <mergeCells count="1">
    <mergeCell ref="A4:L4"/>
  </mergeCells>
  <dataValidations count="1">
    <dataValidation allowBlank="true" errorStyle="stop" operator="between" showDropDown="false" showErrorMessage="false" showInputMessage="false" sqref="K7:K11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I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1"/>
    <col collapsed="false" customWidth="true" hidden="false" outlineLevel="0" max="3" min="3" style="0" width="9"/>
    <col collapsed="false" customWidth="true" hidden="false" outlineLevel="0" max="4" min="4" style="0" width="38"/>
    <col collapsed="false" customWidth="true" hidden="false" outlineLevel="0" max="5" min="5" style="0" width="14"/>
    <col collapsed="false" customWidth="true" hidden="false" outlineLevel="0" max="6" min="6" style="0" width="9"/>
    <col collapsed="false" customWidth="true" hidden="false" outlineLevel="0" max="7" min="7" style="0" width="45"/>
    <col collapsed="false" customWidth="true" hidden="false" outlineLevel="0" max="8" min="8" style="0" width="90"/>
    <col collapsed="false" customWidth="true" hidden="false" outlineLevel="0" max="9" min="9" style="0" width="9"/>
  </cols>
  <sheetData>
    <row r="1" customFormat="false" ht="17.35" hidden="false" customHeight="false" outlineLevel="0" collapsed="false">
      <c r="A1" s="1" t="s">
        <v>1731</v>
      </c>
    </row>
    <row r="2" customFormat="false" ht="15" hidden="false" customHeight="false" outlineLevel="0" collapsed="false">
      <c r="A2" s="2" t="s">
        <v>1732</v>
      </c>
    </row>
    <row r="4" customFormat="false" ht="30" hidden="false" customHeight="true" outlineLevel="0" collapsed="false">
      <c r="A4" s="5" t="s">
        <v>1733</v>
      </c>
      <c r="B4" s="5"/>
      <c r="C4" s="5"/>
      <c r="D4" s="5"/>
      <c r="E4" s="5"/>
      <c r="F4" s="5"/>
      <c r="G4" s="5"/>
      <c r="H4" s="5"/>
    </row>
    <row r="6" customFormat="false" ht="23.85" hidden="false" customHeight="false" outlineLevel="0" collapsed="false">
      <c r="A6" s="31" t="s">
        <v>1734</v>
      </c>
      <c r="B6" s="31" t="s">
        <v>1735</v>
      </c>
      <c r="C6" s="31" t="s">
        <v>1736</v>
      </c>
      <c r="D6" s="31" t="s">
        <v>1737</v>
      </c>
      <c r="E6" s="31" t="s">
        <v>1738</v>
      </c>
      <c r="F6" s="31" t="s">
        <v>154</v>
      </c>
    </row>
    <row r="7" customFormat="false" ht="102.2" hidden="false" customHeight="false" outlineLevel="0" collapsed="false">
      <c r="A7" s="7" t="s">
        <v>1739</v>
      </c>
      <c r="B7" s="7" t="n">
        <f aca="false">COUNTIF($G$16:$G$122,A7)</f>
        <v>13</v>
      </c>
      <c r="C7" s="22" t="n">
        <f aca="false">SUMIFS($F$16:$F$122,$G$16:$G$122,A7)/60</f>
        <v>19.1166666666667</v>
      </c>
      <c r="D7" s="7" t="s">
        <v>1740</v>
      </c>
      <c r="E7" s="32"/>
      <c r="F7" s="32"/>
    </row>
    <row r="8" customFormat="false" ht="91" hidden="false" customHeight="false" outlineLevel="0" collapsed="false">
      <c r="A8" s="7" t="s">
        <v>1741</v>
      </c>
      <c r="B8" s="7" t="n">
        <f aca="false">COUNTIF($G$16:$G$122,A8)</f>
        <v>19</v>
      </c>
      <c r="C8" s="22" t="n">
        <f aca="false">SUMIFS($F$16:$F$122,$G$16:$G$122,A8)/60</f>
        <v>24.1333333333333</v>
      </c>
      <c r="D8" s="7" t="s">
        <v>1742</v>
      </c>
      <c r="E8" s="32"/>
      <c r="F8" s="32"/>
    </row>
    <row r="9" customFormat="false" ht="68.65" hidden="false" customHeight="false" outlineLevel="0" collapsed="false">
      <c r="A9" s="7" t="s">
        <v>1743</v>
      </c>
      <c r="B9" s="7" t="n">
        <f aca="false">COUNTIF($G$16:$G$122,A9)</f>
        <v>52</v>
      </c>
      <c r="C9" s="22" t="n">
        <f aca="false">SUMIFS($F$16:$F$122,$G$16:$G$122,A9)/60</f>
        <v>30.7</v>
      </c>
      <c r="D9" s="7" t="s">
        <v>1744</v>
      </c>
      <c r="E9" s="32"/>
      <c r="F9" s="32"/>
    </row>
    <row r="10" customFormat="false" ht="91" hidden="false" customHeight="false" outlineLevel="0" collapsed="false">
      <c r="A10" s="7" t="s">
        <v>1745</v>
      </c>
      <c r="B10" s="7" t="n">
        <f aca="false">COUNTIF($G$16:$G$122,A10)</f>
        <v>13</v>
      </c>
      <c r="C10" s="22" t="n">
        <f aca="false">SUMIFS($F$16:$F$122,$G$16:$G$122,A10)/60</f>
        <v>9.93333333333333</v>
      </c>
      <c r="D10" s="7" t="s">
        <v>1746</v>
      </c>
      <c r="E10" s="32"/>
      <c r="F10" s="32"/>
    </row>
    <row r="11" customFormat="false" ht="91" hidden="false" customHeight="false" outlineLevel="0" collapsed="false">
      <c r="A11" s="7" t="s">
        <v>1747</v>
      </c>
      <c r="B11" s="7" t="n">
        <f aca="false">COUNTIF($G$16:$G$122,A11)</f>
        <v>10</v>
      </c>
      <c r="C11" s="22" t="n">
        <f aca="false">SUMIFS($F$16:$F$122,$G$16:$G$122,A11)/60</f>
        <v>7.36666666666667</v>
      </c>
      <c r="D11" s="7" t="s">
        <v>1748</v>
      </c>
      <c r="E11" s="32"/>
      <c r="F11" s="32"/>
    </row>
    <row r="12" customFormat="false" ht="15" hidden="false" customHeight="false" outlineLevel="0" collapsed="false">
      <c r="A12" s="13" t="s">
        <v>1749</v>
      </c>
      <c r="B12" s="13" t="n">
        <f aca="false">COUNTIF($I$16:$I$122,"Y")</f>
        <v>0</v>
      </c>
      <c r="C12" s="23" t="n">
        <f aca="false">SUMIFS($F$16:$F$122,$I$16:$I$122,"Y")/60</f>
        <v>0</v>
      </c>
      <c r="D12" s="14"/>
      <c r="E12" s="14"/>
      <c r="F12" s="14"/>
    </row>
    <row r="15" customFormat="false" ht="30" hidden="false" customHeight="true" outlineLevel="0" collapsed="false">
      <c r="A15" s="6" t="s">
        <v>760</v>
      </c>
      <c r="B15" s="6" t="s">
        <v>761</v>
      </c>
      <c r="C15" s="6" t="s">
        <v>1237</v>
      </c>
      <c r="D15" s="6" t="s">
        <v>765</v>
      </c>
      <c r="E15" s="6" t="s">
        <v>762</v>
      </c>
      <c r="F15" s="6" t="s">
        <v>763</v>
      </c>
      <c r="G15" s="6" t="s">
        <v>1734</v>
      </c>
      <c r="H15" s="6" t="s">
        <v>764</v>
      </c>
      <c r="I15" s="6" t="s">
        <v>1750</v>
      </c>
    </row>
    <row r="16" customFormat="false" ht="23.85" hidden="false" customHeight="false" outlineLevel="0" collapsed="false">
      <c r="A16" s="7" t="s">
        <v>1751</v>
      </c>
      <c r="B16" s="7" t="s">
        <v>1752</v>
      </c>
      <c r="C16" s="7" t="n">
        <v>202602</v>
      </c>
      <c r="D16" s="7" t="s">
        <v>1753</v>
      </c>
      <c r="E16" s="7" t="s">
        <v>1257</v>
      </c>
      <c r="F16" s="7" t="n">
        <v>420</v>
      </c>
      <c r="G16" s="7" t="s">
        <v>1739</v>
      </c>
      <c r="H16" s="7" t="s">
        <v>1754</v>
      </c>
      <c r="I16" s="7" t="str">
        <f aca="false">IF(IFERROR(INDEX($E$7:$E$11,MATCH(G16,$A$7:$A$11,0)),"")="Y","Y","N")</f>
        <v>N</v>
      </c>
    </row>
    <row r="17" customFormat="false" ht="35.05" hidden="false" customHeight="false" outlineLevel="0" collapsed="false">
      <c r="A17" s="7" t="s">
        <v>1755</v>
      </c>
      <c r="B17" s="7" t="s">
        <v>1756</v>
      </c>
      <c r="C17" s="7" t="n">
        <v>202604</v>
      </c>
      <c r="D17" s="7" t="s">
        <v>780</v>
      </c>
      <c r="E17" s="7" t="s">
        <v>1244</v>
      </c>
      <c r="F17" s="7" t="n">
        <v>60</v>
      </c>
      <c r="G17" s="7" t="s">
        <v>1739</v>
      </c>
      <c r="H17" s="7" t="s">
        <v>1757</v>
      </c>
      <c r="I17" s="7" t="str">
        <f aca="false">IF(IFERROR(INDEX($E$7:$E$11,MATCH(G17,$A$7:$A$11,0)),"")="Y","Y","N")</f>
        <v>N</v>
      </c>
    </row>
    <row r="18" customFormat="false" ht="35.05" hidden="false" customHeight="false" outlineLevel="0" collapsed="false">
      <c r="A18" s="7" t="s">
        <v>1758</v>
      </c>
      <c r="B18" s="7" t="s">
        <v>627</v>
      </c>
      <c r="C18" s="7" t="n">
        <v>202606</v>
      </c>
      <c r="D18" s="7" t="s">
        <v>769</v>
      </c>
      <c r="E18" s="7" t="s">
        <v>1244</v>
      </c>
      <c r="F18" s="7" t="n">
        <v>30</v>
      </c>
      <c r="G18" s="7" t="s">
        <v>1739</v>
      </c>
      <c r="H18" s="7" t="s">
        <v>1759</v>
      </c>
      <c r="I18" s="7" t="str">
        <f aca="false">IF(IFERROR(INDEX($E$7:$E$11,MATCH(G18,$A$7:$A$11,0)),"")="Y","Y","N")</f>
        <v>N</v>
      </c>
    </row>
    <row r="19" customFormat="false" ht="23.85" hidden="false" customHeight="false" outlineLevel="0" collapsed="false">
      <c r="A19" s="7" t="s">
        <v>1760</v>
      </c>
      <c r="B19" s="7" t="s">
        <v>1761</v>
      </c>
      <c r="C19" s="7" t="n">
        <v>202606</v>
      </c>
      <c r="D19" s="7" t="s">
        <v>769</v>
      </c>
      <c r="E19" s="7" t="s">
        <v>1580</v>
      </c>
      <c r="F19" s="7" t="n">
        <v>120</v>
      </c>
      <c r="G19" s="7" t="s">
        <v>1739</v>
      </c>
      <c r="H19" s="7" t="s">
        <v>1762</v>
      </c>
      <c r="I19" s="7" t="str">
        <f aca="false">IF(IFERROR(INDEX($E$7:$E$11,MATCH(G19,$A$7:$A$11,0)),"")="Y","Y","N")</f>
        <v>N</v>
      </c>
    </row>
    <row r="20" customFormat="false" ht="23.85" hidden="false" customHeight="false" outlineLevel="0" collapsed="false">
      <c r="A20" s="7" t="s">
        <v>1763</v>
      </c>
      <c r="B20" s="7" t="s">
        <v>663</v>
      </c>
      <c r="C20" s="7" t="n">
        <v>202607</v>
      </c>
      <c r="D20" s="7" t="s">
        <v>769</v>
      </c>
      <c r="E20" s="7" t="s">
        <v>1580</v>
      </c>
      <c r="F20" s="7" t="n">
        <v>60</v>
      </c>
      <c r="G20" s="7" t="s">
        <v>1739</v>
      </c>
      <c r="H20" s="7" t="s">
        <v>1764</v>
      </c>
      <c r="I20" s="7" t="str">
        <f aca="false">IF(IFERROR(INDEX($E$7:$E$11,MATCH(G20,$A$7:$A$11,0)),"")="Y","Y","N")</f>
        <v>N</v>
      </c>
    </row>
    <row r="21" customFormat="false" ht="23.85" hidden="false" customHeight="false" outlineLevel="0" collapsed="false">
      <c r="A21" s="7" t="s">
        <v>1765</v>
      </c>
      <c r="B21" s="7" t="s">
        <v>663</v>
      </c>
      <c r="C21" s="7" t="n">
        <v>202607</v>
      </c>
      <c r="D21" s="7" t="s">
        <v>769</v>
      </c>
      <c r="E21" s="7" t="s">
        <v>1580</v>
      </c>
      <c r="F21" s="7" t="n">
        <v>60</v>
      </c>
      <c r="G21" s="7" t="s">
        <v>1739</v>
      </c>
      <c r="H21" s="7" t="s">
        <v>1766</v>
      </c>
      <c r="I21" s="7" t="str">
        <f aca="false">IF(IFERROR(INDEX($E$7:$E$11,MATCH(G21,$A$7:$A$11,0)),"")="Y","Y","N")</f>
        <v>N</v>
      </c>
    </row>
    <row r="22" customFormat="false" ht="23.85" hidden="false" customHeight="false" outlineLevel="0" collapsed="false">
      <c r="A22" s="7" t="s">
        <v>1767</v>
      </c>
      <c r="B22" s="7" t="s">
        <v>663</v>
      </c>
      <c r="C22" s="7" t="n">
        <v>202607</v>
      </c>
      <c r="D22" s="7" t="s">
        <v>769</v>
      </c>
      <c r="E22" s="7" t="s">
        <v>1580</v>
      </c>
      <c r="F22" s="7" t="n">
        <v>37</v>
      </c>
      <c r="G22" s="7" t="s">
        <v>1739</v>
      </c>
      <c r="H22" s="7" t="s">
        <v>1768</v>
      </c>
      <c r="I22" s="7" t="str">
        <f aca="false">IF(IFERROR(INDEX($E$7:$E$11,MATCH(G22,$A$7:$A$11,0)),"")="Y","Y","N")</f>
        <v>N</v>
      </c>
    </row>
    <row r="23" customFormat="false" ht="23.85" hidden="false" customHeight="false" outlineLevel="0" collapsed="false">
      <c r="A23" s="7" t="s">
        <v>1769</v>
      </c>
      <c r="B23" s="7" t="s">
        <v>663</v>
      </c>
      <c r="C23" s="7" t="n">
        <v>202607</v>
      </c>
      <c r="D23" s="7" t="s">
        <v>769</v>
      </c>
      <c r="E23" s="7" t="s">
        <v>1580</v>
      </c>
      <c r="F23" s="7" t="n">
        <v>60</v>
      </c>
      <c r="G23" s="7" t="s">
        <v>1739</v>
      </c>
      <c r="H23" s="7" t="s">
        <v>1770</v>
      </c>
      <c r="I23" s="7" t="str">
        <f aca="false">IF(IFERROR(INDEX($E$7:$E$11,MATCH(G23,$A$7:$A$11,0)),"")="Y","Y","N")</f>
        <v>N</v>
      </c>
    </row>
    <row r="24" customFormat="false" ht="23.85" hidden="false" customHeight="false" outlineLevel="0" collapsed="false">
      <c r="A24" s="7" t="s">
        <v>1771</v>
      </c>
      <c r="B24" s="7" t="s">
        <v>663</v>
      </c>
      <c r="C24" s="7" t="n">
        <v>202607</v>
      </c>
      <c r="D24" s="7" t="s">
        <v>769</v>
      </c>
      <c r="E24" s="7" t="s">
        <v>1580</v>
      </c>
      <c r="F24" s="7" t="n">
        <v>60</v>
      </c>
      <c r="G24" s="7" t="s">
        <v>1739</v>
      </c>
      <c r="H24" s="7" t="s">
        <v>1772</v>
      </c>
      <c r="I24" s="7" t="str">
        <f aca="false">IF(IFERROR(INDEX($E$7:$E$11,MATCH(G24,$A$7:$A$11,0)),"")="Y","Y","N")</f>
        <v>N</v>
      </c>
    </row>
    <row r="25" customFormat="false" ht="23.85" hidden="false" customHeight="false" outlineLevel="0" collapsed="false">
      <c r="A25" s="7" t="s">
        <v>1773</v>
      </c>
      <c r="B25" s="7" t="s">
        <v>663</v>
      </c>
      <c r="C25" s="7" t="n">
        <v>202607</v>
      </c>
      <c r="D25" s="7" t="s">
        <v>769</v>
      </c>
      <c r="E25" s="7" t="s">
        <v>1580</v>
      </c>
      <c r="F25" s="7" t="n">
        <v>60</v>
      </c>
      <c r="G25" s="7" t="s">
        <v>1739</v>
      </c>
      <c r="H25" s="7" t="s">
        <v>1774</v>
      </c>
      <c r="I25" s="7" t="str">
        <f aca="false">IF(IFERROR(INDEX($E$7:$E$11,MATCH(G25,$A$7:$A$11,0)),"")="Y","Y","N")</f>
        <v>N</v>
      </c>
    </row>
    <row r="26" customFormat="false" ht="23.85" hidden="false" customHeight="false" outlineLevel="0" collapsed="false">
      <c r="A26" s="7" t="s">
        <v>1775</v>
      </c>
      <c r="B26" s="7" t="s">
        <v>663</v>
      </c>
      <c r="C26" s="7" t="n">
        <v>202607</v>
      </c>
      <c r="D26" s="7" t="s">
        <v>769</v>
      </c>
      <c r="E26" s="7" t="s">
        <v>1580</v>
      </c>
      <c r="F26" s="7" t="n">
        <v>60</v>
      </c>
      <c r="G26" s="7" t="s">
        <v>1739</v>
      </c>
      <c r="H26" s="7" t="s">
        <v>1776</v>
      </c>
      <c r="I26" s="7" t="str">
        <f aca="false">IF(IFERROR(INDEX($E$7:$E$11,MATCH(G26,$A$7:$A$11,0)),"")="Y","Y","N")</f>
        <v>N</v>
      </c>
    </row>
    <row r="27" customFormat="false" ht="57.45" hidden="false" customHeight="false" outlineLevel="0" collapsed="false">
      <c r="A27" s="7" t="s">
        <v>1777</v>
      </c>
      <c r="B27" s="7" t="s">
        <v>756</v>
      </c>
      <c r="C27" s="7" t="n">
        <v>202609</v>
      </c>
      <c r="D27" s="7" t="s">
        <v>769</v>
      </c>
      <c r="E27" s="7" t="s">
        <v>786</v>
      </c>
      <c r="F27" s="7" t="n">
        <v>60</v>
      </c>
      <c r="G27" s="7" t="s">
        <v>1739</v>
      </c>
      <c r="H27" s="7" t="s">
        <v>1778</v>
      </c>
      <c r="I27" s="7" t="str">
        <f aca="false">IF(IFERROR(INDEX($E$7:$E$11,MATCH(G27,$A$7:$A$11,0)),"")="Y","Y","N")</f>
        <v>N</v>
      </c>
    </row>
    <row r="28" customFormat="false" ht="23.85" hidden="false" customHeight="false" outlineLevel="0" collapsed="false">
      <c r="A28" s="7" t="s">
        <v>1779</v>
      </c>
      <c r="B28" s="7" t="s">
        <v>756</v>
      </c>
      <c r="C28" s="7" t="n">
        <v>202609</v>
      </c>
      <c r="D28" s="7" t="s">
        <v>1780</v>
      </c>
      <c r="E28" s="7" t="s">
        <v>1244</v>
      </c>
      <c r="F28" s="7" t="n">
        <v>60</v>
      </c>
      <c r="G28" s="7" t="s">
        <v>1739</v>
      </c>
      <c r="H28" s="7" t="s">
        <v>1781</v>
      </c>
      <c r="I28" s="7" t="str">
        <f aca="false">IF(IFERROR(INDEX($E$7:$E$11,MATCH(G28,$A$7:$A$11,0)),"")="Y","Y","N")</f>
        <v>N</v>
      </c>
    </row>
    <row r="29" customFormat="false" ht="35.05" hidden="false" customHeight="false" outlineLevel="0" collapsed="false">
      <c r="A29" s="7" t="s">
        <v>1782</v>
      </c>
      <c r="B29" s="7" t="s">
        <v>498</v>
      </c>
      <c r="C29" s="7" t="n">
        <v>202602</v>
      </c>
      <c r="D29" s="7" t="s">
        <v>769</v>
      </c>
      <c r="E29" s="7" t="s">
        <v>1587</v>
      </c>
      <c r="F29" s="7" t="n">
        <v>30</v>
      </c>
      <c r="G29" s="7" t="s">
        <v>1747</v>
      </c>
      <c r="H29" s="7" t="s">
        <v>1783</v>
      </c>
      <c r="I29" s="7" t="str">
        <f aca="false">IF(IFERROR(INDEX($E$7:$E$11,MATCH(G29,$A$7:$A$11,0)),"")="Y","Y","N")</f>
        <v>N</v>
      </c>
    </row>
    <row r="30" customFormat="false" ht="35.05" hidden="false" customHeight="false" outlineLevel="0" collapsed="false">
      <c r="A30" s="7" t="s">
        <v>1784</v>
      </c>
      <c r="B30" s="7" t="s">
        <v>1785</v>
      </c>
      <c r="C30" s="7" t="n">
        <v>202603</v>
      </c>
      <c r="D30" s="7" t="s">
        <v>769</v>
      </c>
      <c r="E30" s="7" t="s">
        <v>1786</v>
      </c>
      <c r="F30" s="7" t="n">
        <v>72</v>
      </c>
      <c r="G30" s="7" t="s">
        <v>1747</v>
      </c>
      <c r="H30" s="7" t="s">
        <v>1787</v>
      </c>
      <c r="I30" s="7" t="str">
        <f aca="false">IF(IFERROR(INDEX($E$7:$E$11,MATCH(G30,$A$7:$A$11,0)),"")="Y","Y","N")</f>
        <v>N</v>
      </c>
    </row>
    <row r="31" customFormat="false" ht="23.85" hidden="false" customHeight="false" outlineLevel="0" collapsed="false">
      <c r="A31" s="7" t="s">
        <v>1788</v>
      </c>
      <c r="B31" s="7" t="s">
        <v>1789</v>
      </c>
      <c r="C31" s="7" t="n">
        <v>202603</v>
      </c>
      <c r="D31" s="7" t="s">
        <v>769</v>
      </c>
      <c r="E31" s="7" t="s">
        <v>1580</v>
      </c>
      <c r="F31" s="7" t="n">
        <v>12</v>
      </c>
      <c r="G31" s="7" t="s">
        <v>1747</v>
      </c>
      <c r="H31" s="7" t="s">
        <v>1790</v>
      </c>
      <c r="I31" s="7" t="str">
        <f aca="false">IF(IFERROR(INDEX($E$7:$E$11,MATCH(G31,$A$7:$A$11,0)),"")="Y","Y","N")</f>
        <v>N</v>
      </c>
    </row>
    <row r="32" customFormat="false" ht="46.25" hidden="false" customHeight="false" outlineLevel="0" collapsed="false">
      <c r="A32" s="7" t="s">
        <v>1791</v>
      </c>
      <c r="B32" s="7" t="s">
        <v>913</v>
      </c>
      <c r="C32" s="7" t="n">
        <v>202603</v>
      </c>
      <c r="D32" s="7" t="s">
        <v>769</v>
      </c>
      <c r="E32" s="7" t="s">
        <v>1244</v>
      </c>
      <c r="F32" s="7" t="n">
        <v>0</v>
      </c>
      <c r="G32" s="7" t="s">
        <v>1747</v>
      </c>
      <c r="H32" s="7" t="s">
        <v>1792</v>
      </c>
      <c r="I32" s="7" t="str">
        <f aca="false">IF(IFERROR(INDEX($E$7:$E$11,MATCH(G32,$A$7:$A$11,0)),"")="Y","Y","N")</f>
        <v>N</v>
      </c>
    </row>
    <row r="33" customFormat="false" ht="15" hidden="false" customHeight="false" outlineLevel="0" collapsed="false">
      <c r="A33" s="7" t="s">
        <v>1793</v>
      </c>
      <c r="B33" s="7" t="s">
        <v>1794</v>
      </c>
      <c r="C33" s="7" t="n">
        <v>202604</v>
      </c>
      <c r="D33" s="7" t="s">
        <v>1753</v>
      </c>
      <c r="E33" s="7" t="s">
        <v>1257</v>
      </c>
      <c r="F33" s="7" t="n">
        <v>120</v>
      </c>
      <c r="G33" s="7" t="s">
        <v>1747</v>
      </c>
      <c r="H33" s="7" t="s">
        <v>1795</v>
      </c>
      <c r="I33" s="7" t="str">
        <f aca="false">IF(IFERROR(INDEX($E$7:$E$11,MATCH(G33,$A$7:$A$11,0)),"")="Y","Y","N")</f>
        <v>N</v>
      </c>
    </row>
    <row r="34" customFormat="false" ht="23.85" hidden="false" customHeight="false" outlineLevel="0" collapsed="false">
      <c r="A34" s="7" t="s">
        <v>1796</v>
      </c>
      <c r="B34" s="7" t="s">
        <v>1797</v>
      </c>
      <c r="C34" s="7" t="n">
        <v>202604</v>
      </c>
      <c r="D34" s="7" t="s">
        <v>780</v>
      </c>
      <c r="E34" s="7" t="s">
        <v>1244</v>
      </c>
      <c r="F34" s="7" t="n">
        <v>60</v>
      </c>
      <c r="G34" s="7" t="s">
        <v>1747</v>
      </c>
      <c r="H34" s="7" t="s">
        <v>1798</v>
      </c>
      <c r="I34" s="7" t="str">
        <f aca="false">IF(IFERROR(INDEX($E$7:$E$11,MATCH(G34,$A$7:$A$11,0)),"")="Y","Y","N")</f>
        <v>N</v>
      </c>
    </row>
    <row r="35" customFormat="false" ht="15" hidden="false" customHeight="false" outlineLevel="0" collapsed="false">
      <c r="A35" s="7" t="s">
        <v>1799</v>
      </c>
      <c r="B35" s="7" t="s">
        <v>1800</v>
      </c>
      <c r="C35" s="7" t="n">
        <v>202604</v>
      </c>
      <c r="D35" s="7" t="s">
        <v>780</v>
      </c>
      <c r="E35" s="7" t="s">
        <v>1244</v>
      </c>
      <c r="F35" s="7" t="n">
        <v>0</v>
      </c>
      <c r="G35" s="7" t="s">
        <v>1747</v>
      </c>
      <c r="H35" s="7" t="s">
        <v>1801</v>
      </c>
      <c r="I35" s="7" t="str">
        <f aca="false">IF(IFERROR(INDEX($E$7:$E$11,MATCH(G35,$A$7:$A$11,0)),"")="Y","Y","N")</f>
        <v>N</v>
      </c>
    </row>
    <row r="36" customFormat="false" ht="46.25" hidden="false" customHeight="false" outlineLevel="0" collapsed="false">
      <c r="A36" s="7" t="s">
        <v>1802</v>
      </c>
      <c r="B36" s="7" t="s">
        <v>659</v>
      </c>
      <c r="C36" s="7" t="n">
        <v>202606</v>
      </c>
      <c r="D36" s="7" t="s">
        <v>769</v>
      </c>
      <c r="E36" s="7" t="s">
        <v>1257</v>
      </c>
      <c r="F36" s="7" t="n">
        <v>14</v>
      </c>
      <c r="G36" s="7" t="s">
        <v>1747</v>
      </c>
      <c r="H36" s="7" t="s">
        <v>1803</v>
      </c>
      <c r="I36" s="7" t="str">
        <f aca="false">IF(IFERROR(INDEX($E$7:$E$11,MATCH(G36,$A$7:$A$11,0)),"")="Y","Y","N")</f>
        <v>N</v>
      </c>
    </row>
    <row r="37" customFormat="false" ht="15" hidden="false" customHeight="false" outlineLevel="0" collapsed="false">
      <c r="A37" s="7" t="s">
        <v>1804</v>
      </c>
      <c r="B37" s="7" t="s">
        <v>1805</v>
      </c>
      <c r="C37" s="7" t="n">
        <v>202607</v>
      </c>
      <c r="D37" s="7" t="s">
        <v>780</v>
      </c>
      <c r="E37" s="7" t="s">
        <v>1257</v>
      </c>
      <c r="F37" s="7" t="n">
        <v>14</v>
      </c>
      <c r="G37" s="7" t="s">
        <v>1747</v>
      </c>
      <c r="H37" s="7" t="s">
        <v>1806</v>
      </c>
      <c r="I37" s="7" t="str">
        <f aca="false">IF(IFERROR(INDEX($E$7:$E$11,MATCH(G37,$A$7:$A$11,0)),"")="Y","Y","N")</f>
        <v>N</v>
      </c>
    </row>
    <row r="38" customFormat="false" ht="23.85" hidden="false" customHeight="false" outlineLevel="0" collapsed="false">
      <c r="A38" s="7" t="s">
        <v>1807</v>
      </c>
      <c r="B38" s="7" t="s">
        <v>758</v>
      </c>
      <c r="C38" s="7" t="n">
        <v>202609</v>
      </c>
      <c r="D38" s="7" t="s">
        <v>769</v>
      </c>
      <c r="E38" s="7" t="s">
        <v>1244</v>
      </c>
      <c r="F38" s="7" t="n">
        <v>120</v>
      </c>
      <c r="G38" s="7" t="s">
        <v>1747</v>
      </c>
      <c r="H38" s="7" t="s">
        <v>1808</v>
      </c>
      <c r="I38" s="7" t="str">
        <f aca="false">IF(IFERROR(INDEX($E$7:$E$11,MATCH(G38,$A$7:$A$11,0)),"")="Y","Y","N")</f>
        <v>N</v>
      </c>
    </row>
    <row r="39" customFormat="false" ht="15" hidden="false" customHeight="false" outlineLevel="0" collapsed="false">
      <c r="A39" s="7" t="s">
        <v>1809</v>
      </c>
      <c r="B39" s="7" t="s">
        <v>1230</v>
      </c>
      <c r="C39" s="7" t="n">
        <v>202601</v>
      </c>
      <c r="D39" s="7" t="s">
        <v>780</v>
      </c>
      <c r="E39" s="7" t="s">
        <v>1244</v>
      </c>
      <c r="F39" s="7" t="n">
        <v>60</v>
      </c>
      <c r="G39" s="7" t="s">
        <v>1743</v>
      </c>
      <c r="H39" s="7" t="s">
        <v>1810</v>
      </c>
      <c r="I39" s="7" t="str">
        <f aca="false">IF(IFERROR(INDEX($E$7:$E$11,MATCH(G39,$A$7:$A$11,0)),"")="Y","Y","N")</f>
        <v>N</v>
      </c>
    </row>
    <row r="40" customFormat="false" ht="23.85" hidden="false" customHeight="false" outlineLevel="0" collapsed="false">
      <c r="A40" s="7" t="s">
        <v>1811</v>
      </c>
      <c r="B40" s="7" t="s">
        <v>1812</v>
      </c>
      <c r="C40" s="7" t="n">
        <v>202601</v>
      </c>
      <c r="D40" s="7" t="s">
        <v>780</v>
      </c>
      <c r="E40" s="7" t="s">
        <v>1244</v>
      </c>
      <c r="F40" s="7" t="n">
        <v>60</v>
      </c>
      <c r="G40" s="7" t="s">
        <v>1743</v>
      </c>
      <c r="H40" s="7" t="s">
        <v>1813</v>
      </c>
      <c r="I40" s="7" t="str">
        <f aca="false">IF(IFERROR(INDEX($E$7:$E$11,MATCH(G40,$A$7:$A$11,0)),"")="Y","Y","N")</f>
        <v>N</v>
      </c>
    </row>
    <row r="41" customFormat="false" ht="15" hidden="false" customHeight="false" outlineLevel="0" collapsed="false">
      <c r="A41" s="7" t="s">
        <v>1814</v>
      </c>
      <c r="B41" s="7" t="s">
        <v>1812</v>
      </c>
      <c r="C41" s="7" t="n">
        <v>202601</v>
      </c>
      <c r="D41" s="7" t="s">
        <v>780</v>
      </c>
      <c r="E41" s="7" t="s">
        <v>1244</v>
      </c>
      <c r="F41" s="7" t="n">
        <v>60</v>
      </c>
      <c r="G41" s="7" t="s">
        <v>1743</v>
      </c>
      <c r="H41" s="7" t="s">
        <v>1815</v>
      </c>
      <c r="I41" s="7" t="str">
        <f aca="false">IF(IFERROR(INDEX($E$7:$E$11,MATCH(G41,$A$7:$A$11,0)),"")="Y","Y","N")</f>
        <v>N</v>
      </c>
    </row>
    <row r="42" customFormat="false" ht="15" hidden="false" customHeight="false" outlineLevel="0" collapsed="false">
      <c r="A42" s="7" t="s">
        <v>1816</v>
      </c>
      <c r="B42" s="7" t="s">
        <v>800</v>
      </c>
      <c r="C42" s="7" t="n">
        <v>202601</v>
      </c>
      <c r="D42" s="7" t="s">
        <v>780</v>
      </c>
      <c r="E42" s="7" t="s">
        <v>1244</v>
      </c>
      <c r="F42" s="7" t="n">
        <v>0</v>
      </c>
      <c r="G42" s="7" t="s">
        <v>1743</v>
      </c>
      <c r="H42" s="7" t="s">
        <v>1817</v>
      </c>
      <c r="I42" s="7" t="str">
        <f aca="false">IF(IFERROR(INDEX($E$7:$E$11,MATCH(G42,$A$7:$A$11,0)),"")="Y","Y","N")</f>
        <v>N</v>
      </c>
    </row>
    <row r="43" customFormat="false" ht="15" hidden="false" customHeight="false" outlineLevel="0" collapsed="false">
      <c r="A43" s="7" t="s">
        <v>1818</v>
      </c>
      <c r="B43" s="7" t="s">
        <v>800</v>
      </c>
      <c r="C43" s="7" t="n">
        <v>202601</v>
      </c>
      <c r="D43" s="7" t="s">
        <v>780</v>
      </c>
      <c r="E43" s="7" t="s">
        <v>1244</v>
      </c>
      <c r="F43" s="7" t="n">
        <v>0</v>
      </c>
      <c r="G43" s="7" t="s">
        <v>1743</v>
      </c>
      <c r="H43" s="7" t="s">
        <v>1819</v>
      </c>
      <c r="I43" s="7" t="str">
        <f aca="false">IF(IFERROR(INDEX($E$7:$E$11,MATCH(G43,$A$7:$A$11,0)),"")="Y","Y","N")</f>
        <v>N</v>
      </c>
    </row>
    <row r="44" customFormat="false" ht="23.85" hidden="false" customHeight="false" outlineLevel="0" collapsed="false">
      <c r="A44" s="7" t="s">
        <v>1820</v>
      </c>
      <c r="B44" s="7" t="s">
        <v>488</v>
      </c>
      <c r="C44" s="7" t="n">
        <v>202602</v>
      </c>
      <c r="D44" s="7" t="s">
        <v>780</v>
      </c>
      <c r="E44" s="7" t="s">
        <v>1244</v>
      </c>
      <c r="F44" s="7" t="n">
        <v>0</v>
      </c>
      <c r="G44" s="7" t="s">
        <v>1743</v>
      </c>
      <c r="H44" s="7" t="s">
        <v>1821</v>
      </c>
      <c r="I44" s="7" t="str">
        <f aca="false">IF(IFERROR(INDEX($E$7:$E$11,MATCH(G44,$A$7:$A$11,0)),"")="Y","Y","N")</f>
        <v>N</v>
      </c>
    </row>
    <row r="45" customFormat="false" ht="23.85" hidden="false" customHeight="false" outlineLevel="0" collapsed="false">
      <c r="A45" s="7" t="s">
        <v>1822</v>
      </c>
      <c r="B45" s="7" t="s">
        <v>503</v>
      </c>
      <c r="C45" s="7" t="n">
        <v>202602</v>
      </c>
      <c r="D45" s="7" t="s">
        <v>769</v>
      </c>
      <c r="E45" s="7" t="s">
        <v>772</v>
      </c>
      <c r="F45" s="7" t="n">
        <v>15</v>
      </c>
      <c r="G45" s="7" t="s">
        <v>1743</v>
      </c>
      <c r="H45" s="7" t="s">
        <v>1823</v>
      </c>
      <c r="I45" s="7" t="str">
        <f aca="false">IF(IFERROR(INDEX($E$7:$E$11,MATCH(G45,$A$7:$A$11,0)),"")="Y","Y","N")</f>
        <v>N</v>
      </c>
    </row>
    <row r="46" customFormat="false" ht="23.85" hidden="false" customHeight="false" outlineLevel="0" collapsed="false">
      <c r="A46" s="7" t="s">
        <v>1824</v>
      </c>
      <c r="B46" s="7" t="s">
        <v>536</v>
      </c>
      <c r="C46" s="7" t="n">
        <v>202603</v>
      </c>
      <c r="D46" s="7" t="s">
        <v>780</v>
      </c>
      <c r="E46" s="7" t="s">
        <v>1244</v>
      </c>
      <c r="F46" s="7" t="n">
        <v>60</v>
      </c>
      <c r="G46" s="7" t="s">
        <v>1743</v>
      </c>
      <c r="H46" s="7" t="s">
        <v>1825</v>
      </c>
      <c r="I46" s="7" t="str">
        <f aca="false">IF(IFERROR(INDEX($E$7:$E$11,MATCH(G46,$A$7:$A$11,0)),"")="Y","Y","N")</f>
        <v>N</v>
      </c>
    </row>
    <row r="47" customFormat="false" ht="23.85" hidden="false" customHeight="false" outlineLevel="0" collapsed="false">
      <c r="A47" s="7" t="s">
        <v>1826</v>
      </c>
      <c r="B47" s="7" t="s">
        <v>1827</v>
      </c>
      <c r="C47" s="7" t="n">
        <v>202603</v>
      </c>
      <c r="D47" s="7" t="s">
        <v>780</v>
      </c>
      <c r="E47" s="7" t="s">
        <v>1244</v>
      </c>
      <c r="F47" s="7" t="n">
        <v>15</v>
      </c>
      <c r="G47" s="7" t="s">
        <v>1743</v>
      </c>
      <c r="H47" s="7" t="s">
        <v>1828</v>
      </c>
      <c r="I47" s="7" t="str">
        <f aca="false">IF(IFERROR(INDEX($E$7:$E$11,MATCH(G47,$A$7:$A$11,0)),"")="Y","Y","N")</f>
        <v>N</v>
      </c>
    </row>
    <row r="48" customFormat="false" ht="23.85" hidden="false" customHeight="false" outlineLevel="0" collapsed="false">
      <c r="A48" s="7" t="s">
        <v>1829</v>
      </c>
      <c r="B48" s="7" t="s">
        <v>1830</v>
      </c>
      <c r="C48" s="7" t="n">
        <v>202603</v>
      </c>
      <c r="D48" s="7" t="s">
        <v>780</v>
      </c>
      <c r="E48" s="7" t="s">
        <v>1251</v>
      </c>
      <c r="F48" s="7" t="n">
        <v>60</v>
      </c>
      <c r="G48" s="7" t="s">
        <v>1743</v>
      </c>
      <c r="H48" s="7" t="s">
        <v>1831</v>
      </c>
      <c r="I48" s="7" t="str">
        <f aca="false">IF(IFERROR(INDEX($E$7:$E$11,MATCH(G48,$A$7:$A$11,0)),"")="Y","Y","N")</f>
        <v>N</v>
      </c>
    </row>
    <row r="49" customFormat="false" ht="23.85" hidden="false" customHeight="false" outlineLevel="0" collapsed="false">
      <c r="A49" s="7" t="s">
        <v>1832</v>
      </c>
      <c r="B49" s="7" t="s">
        <v>586</v>
      </c>
      <c r="C49" s="7" t="n">
        <v>202604</v>
      </c>
      <c r="D49" s="7" t="s">
        <v>1833</v>
      </c>
      <c r="E49" s="7" t="s">
        <v>1257</v>
      </c>
      <c r="F49" s="7" t="n">
        <v>30</v>
      </c>
      <c r="G49" s="7" t="s">
        <v>1743</v>
      </c>
      <c r="H49" s="7" t="s">
        <v>1834</v>
      </c>
      <c r="I49" s="7" t="str">
        <f aca="false">IF(IFERROR(INDEX($E$7:$E$11,MATCH(G49,$A$7:$A$11,0)),"")="Y","Y","N")</f>
        <v>N</v>
      </c>
    </row>
    <row r="50" customFormat="false" ht="15" hidden="false" customHeight="false" outlineLevel="0" collapsed="false">
      <c r="A50" s="7" t="s">
        <v>1835</v>
      </c>
      <c r="B50" s="7" t="s">
        <v>810</v>
      </c>
      <c r="C50" s="7" t="n">
        <v>202604</v>
      </c>
      <c r="D50" s="7" t="s">
        <v>780</v>
      </c>
      <c r="E50" s="7" t="s">
        <v>1244</v>
      </c>
      <c r="F50" s="7" t="n">
        <v>18</v>
      </c>
      <c r="G50" s="7" t="s">
        <v>1743</v>
      </c>
      <c r="H50" s="7" t="s">
        <v>1836</v>
      </c>
      <c r="I50" s="7" t="str">
        <f aca="false">IF(IFERROR(INDEX($E$7:$E$11,MATCH(G50,$A$7:$A$11,0)),"")="Y","Y","N")</f>
        <v>N</v>
      </c>
    </row>
    <row r="51" customFormat="false" ht="15" hidden="false" customHeight="false" outlineLevel="0" collapsed="false">
      <c r="A51" s="7" t="s">
        <v>1837</v>
      </c>
      <c r="B51" s="7" t="s">
        <v>810</v>
      </c>
      <c r="C51" s="7" t="n">
        <v>202604</v>
      </c>
      <c r="D51" s="7" t="s">
        <v>780</v>
      </c>
      <c r="E51" s="7" t="s">
        <v>1244</v>
      </c>
      <c r="F51" s="7" t="n">
        <v>0</v>
      </c>
      <c r="G51" s="7" t="s">
        <v>1743</v>
      </c>
      <c r="H51" s="7" t="s">
        <v>1838</v>
      </c>
      <c r="I51" s="7" t="str">
        <f aca="false">IF(IFERROR(INDEX($E$7:$E$11,MATCH(G51,$A$7:$A$11,0)),"")="Y","Y","N")</f>
        <v>N</v>
      </c>
    </row>
    <row r="52" customFormat="false" ht="15" hidden="false" customHeight="false" outlineLevel="0" collapsed="false">
      <c r="A52" s="7" t="s">
        <v>1839</v>
      </c>
      <c r="B52" s="7" t="s">
        <v>590</v>
      </c>
      <c r="C52" s="7" t="n">
        <v>202604</v>
      </c>
      <c r="D52" s="7" t="s">
        <v>780</v>
      </c>
      <c r="E52" s="7" t="s">
        <v>1244</v>
      </c>
      <c r="F52" s="7" t="n">
        <v>0</v>
      </c>
      <c r="G52" s="7" t="s">
        <v>1743</v>
      </c>
      <c r="H52" s="7" t="s">
        <v>1840</v>
      </c>
      <c r="I52" s="7" t="str">
        <f aca="false">IF(IFERROR(INDEX($E$7:$E$11,MATCH(G52,$A$7:$A$11,0)),"")="Y","Y","N")</f>
        <v>N</v>
      </c>
    </row>
    <row r="53" customFormat="false" ht="15" hidden="false" customHeight="false" outlineLevel="0" collapsed="false">
      <c r="A53" s="7" t="s">
        <v>1841</v>
      </c>
      <c r="B53" s="7" t="s">
        <v>596</v>
      </c>
      <c r="C53" s="7" t="n">
        <v>202604</v>
      </c>
      <c r="D53" s="7" t="s">
        <v>780</v>
      </c>
      <c r="E53" s="7" t="s">
        <v>1244</v>
      </c>
      <c r="F53" s="7" t="n">
        <v>0</v>
      </c>
      <c r="G53" s="7" t="s">
        <v>1743</v>
      </c>
      <c r="H53" s="7" t="s">
        <v>1842</v>
      </c>
      <c r="I53" s="7" t="str">
        <f aca="false">IF(IFERROR(INDEX($E$7:$E$11,MATCH(G53,$A$7:$A$11,0)),"")="Y","Y","N")</f>
        <v>N</v>
      </c>
    </row>
    <row r="54" customFormat="false" ht="35.05" hidden="false" customHeight="false" outlineLevel="0" collapsed="false">
      <c r="A54" s="7" t="s">
        <v>1843</v>
      </c>
      <c r="B54" s="7" t="s">
        <v>596</v>
      </c>
      <c r="C54" s="7" t="n">
        <v>202604</v>
      </c>
      <c r="D54" s="7" t="s">
        <v>780</v>
      </c>
      <c r="E54" s="7" t="s">
        <v>1244</v>
      </c>
      <c r="F54" s="7" t="n">
        <v>60</v>
      </c>
      <c r="G54" s="7" t="s">
        <v>1743</v>
      </c>
      <c r="H54" s="7" t="s">
        <v>1844</v>
      </c>
      <c r="I54" s="7" t="str">
        <f aca="false">IF(IFERROR(INDEX($E$7:$E$11,MATCH(G54,$A$7:$A$11,0)),"")="Y","Y","N")</f>
        <v>N</v>
      </c>
    </row>
    <row r="55" customFormat="false" ht="15" hidden="false" customHeight="false" outlineLevel="0" collapsed="false">
      <c r="A55" s="7" t="s">
        <v>1845</v>
      </c>
      <c r="B55" s="7" t="s">
        <v>596</v>
      </c>
      <c r="C55" s="7" t="n">
        <v>202604</v>
      </c>
      <c r="D55" s="7" t="s">
        <v>780</v>
      </c>
      <c r="E55" s="7" t="s">
        <v>1244</v>
      </c>
      <c r="F55" s="7" t="n">
        <v>0</v>
      </c>
      <c r="G55" s="7" t="s">
        <v>1743</v>
      </c>
      <c r="H55" s="7" t="s">
        <v>1846</v>
      </c>
      <c r="I55" s="7" t="str">
        <f aca="false">IF(IFERROR(INDEX($E$7:$E$11,MATCH(G55,$A$7:$A$11,0)),"")="Y","Y","N")</f>
        <v>N</v>
      </c>
    </row>
    <row r="56" customFormat="false" ht="35.05" hidden="false" customHeight="false" outlineLevel="0" collapsed="false">
      <c r="A56" s="7" t="s">
        <v>1847</v>
      </c>
      <c r="B56" s="7" t="s">
        <v>1848</v>
      </c>
      <c r="C56" s="7" t="n">
        <v>202604</v>
      </c>
      <c r="D56" s="7" t="s">
        <v>780</v>
      </c>
      <c r="E56" s="7" t="s">
        <v>1244</v>
      </c>
      <c r="F56" s="7" t="n">
        <v>18</v>
      </c>
      <c r="G56" s="7" t="s">
        <v>1743</v>
      </c>
      <c r="H56" s="7" t="s">
        <v>1849</v>
      </c>
      <c r="I56" s="7" t="str">
        <f aca="false">IF(IFERROR(INDEX($E$7:$E$11,MATCH(G56,$A$7:$A$11,0)),"")="Y","Y","N")</f>
        <v>N</v>
      </c>
    </row>
    <row r="57" customFormat="false" ht="15" hidden="false" customHeight="false" outlineLevel="0" collapsed="false">
      <c r="A57" s="7" t="s">
        <v>1850</v>
      </c>
      <c r="B57" s="7" t="s">
        <v>1851</v>
      </c>
      <c r="C57" s="7" t="n">
        <v>202604</v>
      </c>
      <c r="D57" s="7" t="s">
        <v>780</v>
      </c>
      <c r="E57" s="7" t="s">
        <v>1244</v>
      </c>
      <c r="F57" s="7" t="n">
        <v>0</v>
      </c>
      <c r="G57" s="7" t="s">
        <v>1743</v>
      </c>
      <c r="H57" s="7" t="s">
        <v>1852</v>
      </c>
      <c r="I57" s="7" t="str">
        <f aca="false">IF(IFERROR(INDEX($E$7:$E$11,MATCH(G57,$A$7:$A$11,0)),"")="Y","Y","N")</f>
        <v>N</v>
      </c>
    </row>
    <row r="58" customFormat="false" ht="15" hidden="false" customHeight="false" outlineLevel="0" collapsed="false">
      <c r="A58" s="7" t="s">
        <v>1853</v>
      </c>
      <c r="B58" s="7" t="s">
        <v>1851</v>
      </c>
      <c r="C58" s="7" t="n">
        <v>202604</v>
      </c>
      <c r="D58" s="7" t="s">
        <v>780</v>
      </c>
      <c r="E58" s="7" t="s">
        <v>1244</v>
      </c>
      <c r="F58" s="7" t="n">
        <v>0</v>
      </c>
      <c r="G58" s="7" t="s">
        <v>1743</v>
      </c>
      <c r="H58" s="7" t="s">
        <v>1854</v>
      </c>
      <c r="I58" s="7" t="str">
        <f aca="false">IF(IFERROR(INDEX($E$7:$E$11,MATCH(G58,$A$7:$A$11,0)),"")="Y","Y","N")</f>
        <v>N</v>
      </c>
    </row>
    <row r="59" customFormat="false" ht="23.85" hidden="false" customHeight="false" outlineLevel="0" collapsed="false">
      <c r="A59" s="7" t="s">
        <v>1855</v>
      </c>
      <c r="B59" s="7" t="s">
        <v>1856</v>
      </c>
      <c r="C59" s="7" t="n">
        <v>202604</v>
      </c>
      <c r="D59" s="7" t="s">
        <v>769</v>
      </c>
      <c r="E59" s="7" t="s">
        <v>1507</v>
      </c>
      <c r="F59" s="7" t="n">
        <v>30</v>
      </c>
      <c r="G59" s="7" t="s">
        <v>1743</v>
      </c>
      <c r="H59" s="7" t="s">
        <v>1857</v>
      </c>
      <c r="I59" s="7" t="str">
        <f aca="false">IF(IFERROR(INDEX($E$7:$E$11,MATCH(G59,$A$7:$A$11,0)),"")="Y","Y","N")</f>
        <v>N</v>
      </c>
    </row>
    <row r="60" customFormat="false" ht="15" hidden="false" customHeight="false" outlineLevel="0" collapsed="false">
      <c r="A60" s="7" t="s">
        <v>1858</v>
      </c>
      <c r="B60" s="7" t="s">
        <v>1859</v>
      </c>
      <c r="C60" s="7" t="n">
        <v>202605</v>
      </c>
      <c r="D60" s="7" t="s">
        <v>780</v>
      </c>
      <c r="E60" s="7" t="s">
        <v>1244</v>
      </c>
      <c r="F60" s="7" t="n">
        <v>0</v>
      </c>
      <c r="G60" s="7" t="s">
        <v>1743</v>
      </c>
      <c r="H60" s="7" t="s">
        <v>1860</v>
      </c>
      <c r="I60" s="7" t="str">
        <f aca="false">IF(IFERROR(INDEX($E$7:$E$11,MATCH(G60,$A$7:$A$11,0)),"")="Y","Y","N")</f>
        <v>N</v>
      </c>
    </row>
    <row r="61" customFormat="false" ht="15" hidden="false" customHeight="false" outlineLevel="0" collapsed="false">
      <c r="A61" s="7" t="s">
        <v>1861</v>
      </c>
      <c r="B61" s="7" t="s">
        <v>1862</v>
      </c>
      <c r="C61" s="7" t="n">
        <v>202605</v>
      </c>
      <c r="D61" s="7" t="s">
        <v>780</v>
      </c>
      <c r="E61" s="7" t="s">
        <v>1244</v>
      </c>
      <c r="F61" s="7" t="n">
        <v>0</v>
      </c>
      <c r="G61" s="7" t="s">
        <v>1743</v>
      </c>
      <c r="H61" s="7" t="s">
        <v>1863</v>
      </c>
      <c r="I61" s="7" t="str">
        <f aca="false">IF(IFERROR(INDEX($E$7:$E$11,MATCH(G61,$A$7:$A$11,0)),"")="Y","Y","N")</f>
        <v>N</v>
      </c>
    </row>
    <row r="62" customFormat="false" ht="15" hidden="false" customHeight="false" outlineLevel="0" collapsed="false">
      <c r="A62" s="7" t="s">
        <v>1864</v>
      </c>
      <c r="B62" s="7" t="s">
        <v>1865</v>
      </c>
      <c r="C62" s="7" t="n">
        <v>202605</v>
      </c>
      <c r="D62" s="7" t="s">
        <v>1780</v>
      </c>
      <c r="E62" s="7" t="s">
        <v>1257</v>
      </c>
      <c r="F62" s="7" t="n">
        <v>60</v>
      </c>
      <c r="G62" s="7" t="s">
        <v>1743</v>
      </c>
      <c r="H62" s="7" t="s">
        <v>1866</v>
      </c>
      <c r="I62" s="7" t="str">
        <f aca="false">IF(IFERROR(INDEX($E$7:$E$11,MATCH(G62,$A$7:$A$11,0)),"")="Y","Y","N")</f>
        <v>N</v>
      </c>
    </row>
    <row r="63" customFormat="false" ht="23.85" hidden="false" customHeight="false" outlineLevel="0" collapsed="false">
      <c r="A63" s="7" t="s">
        <v>1867</v>
      </c>
      <c r="B63" s="7" t="s">
        <v>897</v>
      </c>
      <c r="C63" s="7" t="n">
        <v>202605</v>
      </c>
      <c r="D63" s="7" t="s">
        <v>780</v>
      </c>
      <c r="E63" s="7" t="s">
        <v>1244</v>
      </c>
      <c r="F63" s="7" t="n">
        <v>30</v>
      </c>
      <c r="G63" s="7" t="s">
        <v>1743</v>
      </c>
      <c r="H63" s="7" t="s">
        <v>1868</v>
      </c>
      <c r="I63" s="7" t="str">
        <f aca="false">IF(IFERROR(INDEX($E$7:$E$11,MATCH(G63,$A$7:$A$11,0)),"")="Y","Y","N")</f>
        <v>N</v>
      </c>
    </row>
    <row r="64" customFormat="false" ht="15" hidden="false" customHeight="false" outlineLevel="0" collapsed="false">
      <c r="A64" s="7" t="s">
        <v>1869</v>
      </c>
      <c r="B64" s="7" t="s">
        <v>1870</v>
      </c>
      <c r="C64" s="7" t="n">
        <v>202605</v>
      </c>
      <c r="D64" s="7" t="s">
        <v>780</v>
      </c>
      <c r="E64" s="7" t="s">
        <v>1244</v>
      </c>
      <c r="F64" s="7" t="n">
        <v>0</v>
      </c>
      <c r="G64" s="7" t="s">
        <v>1743</v>
      </c>
      <c r="H64" s="7" t="s">
        <v>1871</v>
      </c>
      <c r="I64" s="7" t="str">
        <f aca="false">IF(IFERROR(INDEX($E$7:$E$11,MATCH(G64,$A$7:$A$11,0)),"")="Y","Y","N")</f>
        <v>N</v>
      </c>
    </row>
    <row r="65" customFormat="false" ht="23.85" hidden="false" customHeight="false" outlineLevel="0" collapsed="false">
      <c r="A65" s="7" t="s">
        <v>1872</v>
      </c>
      <c r="B65" s="7" t="s">
        <v>1873</v>
      </c>
      <c r="C65" s="7" t="n">
        <v>202605</v>
      </c>
      <c r="D65" s="7" t="s">
        <v>780</v>
      </c>
      <c r="E65" s="7" t="s">
        <v>1244</v>
      </c>
      <c r="F65" s="7" t="n">
        <v>60</v>
      </c>
      <c r="G65" s="7" t="s">
        <v>1743</v>
      </c>
      <c r="H65" s="7" t="s">
        <v>1874</v>
      </c>
      <c r="I65" s="7" t="str">
        <f aca="false">IF(IFERROR(INDEX($E$7:$E$11,MATCH(G65,$A$7:$A$11,0)),"")="Y","Y","N")</f>
        <v>N</v>
      </c>
    </row>
    <row r="66" customFormat="false" ht="15" hidden="false" customHeight="false" outlineLevel="0" collapsed="false">
      <c r="A66" s="7" t="s">
        <v>1875</v>
      </c>
      <c r="B66" s="7" t="s">
        <v>1876</v>
      </c>
      <c r="C66" s="7" t="n">
        <v>202606</v>
      </c>
      <c r="D66" s="7" t="s">
        <v>780</v>
      </c>
      <c r="E66" s="7" t="s">
        <v>1244</v>
      </c>
      <c r="F66" s="7" t="n">
        <v>0</v>
      </c>
      <c r="G66" s="7" t="s">
        <v>1743</v>
      </c>
      <c r="H66" s="7" t="s">
        <v>1877</v>
      </c>
      <c r="I66" s="7" t="str">
        <f aca="false">IF(IFERROR(INDEX($E$7:$E$11,MATCH(G66,$A$7:$A$11,0)),"")="Y","Y","N")</f>
        <v>N</v>
      </c>
    </row>
    <row r="67" customFormat="false" ht="23.85" hidden="false" customHeight="false" outlineLevel="0" collapsed="false">
      <c r="A67" s="7" t="s">
        <v>1878</v>
      </c>
      <c r="B67" s="7" t="s">
        <v>1876</v>
      </c>
      <c r="C67" s="7" t="n">
        <v>202606</v>
      </c>
      <c r="D67" s="7" t="s">
        <v>780</v>
      </c>
      <c r="E67" s="7" t="s">
        <v>1244</v>
      </c>
      <c r="F67" s="7" t="n">
        <v>0</v>
      </c>
      <c r="G67" s="7" t="s">
        <v>1743</v>
      </c>
      <c r="H67" s="7" t="s">
        <v>1879</v>
      </c>
      <c r="I67" s="7" t="str">
        <f aca="false">IF(IFERROR(INDEX($E$7:$E$11,MATCH(G67,$A$7:$A$11,0)),"")="Y","Y","N")</f>
        <v>N</v>
      </c>
    </row>
    <row r="68" customFormat="false" ht="23.85" hidden="false" customHeight="false" outlineLevel="0" collapsed="false">
      <c r="A68" s="7" t="s">
        <v>1880</v>
      </c>
      <c r="B68" s="7" t="s">
        <v>1881</v>
      </c>
      <c r="C68" s="7" t="n">
        <v>202606</v>
      </c>
      <c r="D68" s="7" t="s">
        <v>780</v>
      </c>
      <c r="E68" s="7" t="s">
        <v>1244</v>
      </c>
      <c r="F68" s="7" t="n">
        <v>15</v>
      </c>
      <c r="G68" s="7" t="s">
        <v>1743</v>
      </c>
      <c r="H68" s="7" t="s">
        <v>1882</v>
      </c>
      <c r="I68" s="7" t="str">
        <f aca="false">IF(IFERROR(INDEX($E$7:$E$11,MATCH(G68,$A$7:$A$11,0)),"")="Y","Y","N")</f>
        <v>N</v>
      </c>
    </row>
    <row r="69" customFormat="false" ht="15" hidden="false" customHeight="false" outlineLevel="0" collapsed="false">
      <c r="A69" s="7" t="s">
        <v>1883</v>
      </c>
      <c r="B69" s="7" t="s">
        <v>1881</v>
      </c>
      <c r="C69" s="7" t="n">
        <v>202606</v>
      </c>
      <c r="D69" s="7" t="s">
        <v>1780</v>
      </c>
      <c r="E69" s="7" t="s">
        <v>1257</v>
      </c>
      <c r="F69" s="7" t="n">
        <v>79</v>
      </c>
      <c r="G69" s="7" t="s">
        <v>1743</v>
      </c>
      <c r="H69" s="7" t="s">
        <v>1884</v>
      </c>
      <c r="I69" s="7" t="str">
        <f aca="false">IF(IFERROR(INDEX($E$7:$E$11,MATCH(G69,$A$7:$A$11,0)),"")="Y","Y","N")</f>
        <v>N</v>
      </c>
    </row>
    <row r="70" customFormat="false" ht="23.85" hidden="false" customHeight="false" outlineLevel="0" collapsed="false">
      <c r="A70" s="7" t="s">
        <v>1885</v>
      </c>
      <c r="B70" s="7" t="s">
        <v>632</v>
      </c>
      <c r="C70" s="7" t="n">
        <v>202606</v>
      </c>
      <c r="D70" s="7" t="s">
        <v>780</v>
      </c>
      <c r="E70" s="7" t="s">
        <v>1244</v>
      </c>
      <c r="F70" s="7" t="n">
        <v>0</v>
      </c>
      <c r="G70" s="7" t="s">
        <v>1743</v>
      </c>
      <c r="H70" s="7" t="s">
        <v>1886</v>
      </c>
      <c r="I70" s="7" t="str">
        <f aca="false">IF(IFERROR(INDEX($E$7:$E$11,MATCH(G70,$A$7:$A$11,0)),"")="Y","Y","N")</f>
        <v>N</v>
      </c>
    </row>
    <row r="71" customFormat="false" ht="23.85" hidden="false" customHeight="false" outlineLevel="0" collapsed="false">
      <c r="A71" s="7" t="s">
        <v>1887</v>
      </c>
      <c r="B71" s="7" t="s">
        <v>886</v>
      </c>
      <c r="C71" s="7" t="n">
        <v>202606</v>
      </c>
      <c r="D71" s="7" t="s">
        <v>780</v>
      </c>
      <c r="E71" s="7" t="s">
        <v>1244</v>
      </c>
      <c r="F71" s="7" t="n">
        <v>60</v>
      </c>
      <c r="G71" s="7" t="s">
        <v>1743</v>
      </c>
      <c r="H71" s="7" t="s">
        <v>1888</v>
      </c>
      <c r="I71" s="7" t="str">
        <f aca="false">IF(IFERROR(INDEX($E$7:$E$11,MATCH(G71,$A$7:$A$11,0)),"")="Y","Y","N")</f>
        <v>N</v>
      </c>
    </row>
    <row r="72" customFormat="false" ht="15" hidden="false" customHeight="false" outlineLevel="0" collapsed="false">
      <c r="A72" s="7" t="s">
        <v>1889</v>
      </c>
      <c r="B72" s="7" t="s">
        <v>886</v>
      </c>
      <c r="C72" s="7" t="n">
        <v>202606</v>
      </c>
      <c r="D72" s="7" t="s">
        <v>780</v>
      </c>
      <c r="E72" s="7" t="s">
        <v>1244</v>
      </c>
      <c r="F72" s="7" t="n">
        <v>60</v>
      </c>
      <c r="G72" s="7" t="s">
        <v>1743</v>
      </c>
      <c r="H72" s="7" t="s">
        <v>1890</v>
      </c>
      <c r="I72" s="7" t="str">
        <f aca="false">IF(IFERROR(INDEX($E$7:$E$11,MATCH(G72,$A$7:$A$11,0)),"")="Y","Y","N")</f>
        <v>N</v>
      </c>
    </row>
    <row r="73" customFormat="false" ht="15" hidden="false" customHeight="false" outlineLevel="0" collapsed="false">
      <c r="A73" s="7" t="s">
        <v>1891</v>
      </c>
      <c r="B73" s="7" t="s">
        <v>1892</v>
      </c>
      <c r="C73" s="7" t="n">
        <v>202606</v>
      </c>
      <c r="D73" s="7" t="s">
        <v>780</v>
      </c>
      <c r="E73" s="7" t="s">
        <v>1244</v>
      </c>
      <c r="F73" s="7" t="n">
        <v>6</v>
      </c>
      <c r="G73" s="7" t="s">
        <v>1743</v>
      </c>
      <c r="H73" s="7" t="s">
        <v>1893</v>
      </c>
      <c r="I73" s="7" t="str">
        <f aca="false">IF(IFERROR(INDEX($E$7:$E$11,MATCH(G73,$A$7:$A$11,0)),"")="Y","Y","N")</f>
        <v>N</v>
      </c>
    </row>
    <row r="74" customFormat="false" ht="15" hidden="false" customHeight="false" outlineLevel="0" collapsed="false">
      <c r="A74" s="7" t="s">
        <v>1894</v>
      </c>
      <c r="B74" s="7" t="s">
        <v>1892</v>
      </c>
      <c r="C74" s="7" t="n">
        <v>202606</v>
      </c>
      <c r="D74" s="7" t="s">
        <v>780</v>
      </c>
      <c r="E74" s="7" t="s">
        <v>1244</v>
      </c>
      <c r="F74" s="7" t="n">
        <v>7</v>
      </c>
      <c r="G74" s="7" t="s">
        <v>1743</v>
      </c>
      <c r="H74" s="7" t="s">
        <v>1895</v>
      </c>
      <c r="I74" s="7" t="str">
        <f aca="false">IF(IFERROR(INDEX($E$7:$E$11,MATCH(G74,$A$7:$A$11,0)),"")="Y","Y","N")</f>
        <v>N</v>
      </c>
    </row>
    <row r="75" customFormat="false" ht="15" hidden="false" customHeight="false" outlineLevel="0" collapsed="false">
      <c r="A75" s="7" t="s">
        <v>1896</v>
      </c>
      <c r="B75" s="7" t="s">
        <v>1897</v>
      </c>
      <c r="C75" s="7" t="n">
        <v>202606</v>
      </c>
      <c r="D75" s="7" t="s">
        <v>780</v>
      </c>
      <c r="E75" s="7" t="s">
        <v>1244</v>
      </c>
      <c r="F75" s="7" t="n">
        <v>0</v>
      </c>
      <c r="G75" s="7" t="s">
        <v>1743</v>
      </c>
      <c r="H75" s="7" t="s">
        <v>1898</v>
      </c>
      <c r="I75" s="7" t="str">
        <f aca="false">IF(IFERROR(INDEX($E$7:$E$11,MATCH(G75,$A$7:$A$11,0)),"")="Y","Y","N")</f>
        <v>N</v>
      </c>
    </row>
    <row r="76" customFormat="false" ht="15" hidden="false" customHeight="false" outlineLevel="0" collapsed="false">
      <c r="A76" s="7" t="s">
        <v>1899</v>
      </c>
      <c r="B76" s="7" t="s">
        <v>659</v>
      </c>
      <c r="C76" s="7" t="n">
        <v>202606</v>
      </c>
      <c r="D76" s="7" t="s">
        <v>780</v>
      </c>
      <c r="E76" s="7" t="s">
        <v>1244</v>
      </c>
      <c r="F76" s="7" t="n">
        <v>12</v>
      </c>
      <c r="G76" s="7" t="s">
        <v>1743</v>
      </c>
      <c r="H76" s="7" t="s">
        <v>1900</v>
      </c>
      <c r="I76" s="7" t="str">
        <f aca="false">IF(IFERROR(INDEX($E$7:$E$11,MATCH(G76,$A$7:$A$11,0)),"")="Y","Y","N")</f>
        <v>N</v>
      </c>
    </row>
    <row r="77" customFormat="false" ht="35.05" hidden="false" customHeight="false" outlineLevel="0" collapsed="false">
      <c r="A77" s="7" t="s">
        <v>1901</v>
      </c>
      <c r="B77" s="7" t="s">
        <v>1902</v>
      </c>
      <c r="C77" s="7" t="n">
        <v>202606</v>
      </c>
      <c r="D77" s="7" t="s">
        <v>780</v>
      </c>
      <c r="E77" s="7" t="s">
        <v>1244</v>
      </c>
      <c r="F77" s="7" t="n">
        <v>180</v>
      </c>
      <c r="G77" s="7" t="s">
        <v>1743</v>
      </c>
      <c r="H77" s="7" t="s">
        <v>1903</v>
      </c>
      <c r="I77" s="7" t="str">
        <f aca="false">IF(IFERROR(INDEX($E$7:$E$11,MATCH(G77,$A$7:$A$11,0)),"")="Y","Y","N")</f>
        <v>N</v>
      </c>
    </row>
    <row r="78" customFormat="false" ht="35.05" hidden="false" customHeight="false" outlineLevel="0" collapsed="false">
      <c r="A78" s="7" t="s">
        <v>1904</v>
      </c>
      <c r="B78" s="7" t="s">
        <v>771</v>
      </c>
      <c r="C78" s="7" t="n">
        <v>202606</v>
      </c>
      <c r="D78" s="7" t="s">
        <v>780</v>
      </c>
      <c r="E78" s="7" t="s">
        <v>1244</v>
      </c>
      <c r="F78" s="7" t="n">
        <v>180</v>
      </c>
      <c r="G78" s="7" t="s">
        <v>1743</v>
      </c>
      <c r="H78" s="7" t="s">
        <v>1905</v>
      </c>
      <c r="I78" s="7" t="str">
        <f aca="false">IF(IFERROR(INDEX($E$7:$E$11,MATCH(G78,$A$7:$A$11,0)),"")="Y","Y","N")</f>
        <v>N</v>
      </c>
    </row>
    <row r="79" customFormat="false" ht="15" hidden="false" customHeight="false" outlineLevel="0" collapsed="false">
      <c r="A79" s="7" t="s">
        <v>1906</v>
      </c>
      <c r="B79" s="7" t="s">
        <v>663</v>
      </c>
      <c r="C79" s="7" t="n">
        <v>202607</v>
      </c>
      <c r="D79" s="7" t="s">
        <v>780</v>
      </c>
      <c r="E79" s="7" t="s">
        <v>1244</v>
      </c>
      <c r="F79" s="7" t="n">
        <v>7</v>
      </c>
      <c r="G79" s="7" t="s">
        <v>1743</v>
      </c>
      <c r="H79" s="7" t="s">
        <v>1907</v>
      </c>
      <c r="I79" s="7" t="str">
        <f aca="false">IF(IFERROR(INDEX($E$7:$E$11,MATCH(G79,$A$7:$A$11,0)),"")="Y","Y","N")</f>
        <v>N</v>
      </c>
    </row>
    <row r="80" customFormat="false" ht="15" hidden="false" customHeight="false" outlineLevel="0" collapsed="false">
      <c r="A80" s="7" t="s">
        <v>1908</v>
      </c>
      <c r="B80" s="7" t="s">
        <v>663</v>
      </c>
      <c r="C80" s="7" t="n">
        <v>202607</v>
      </c>
      <c r="D80" s="7" t="s">
        <v>1780</v>
      </c>
      <c r="E80" s="7" t="s">
        <v>1257</v>
      </c>
      <c r="F80" s="7" t="n">
        <v>240</v>
      </c>
      <c r="G80" s="7" t="s">
        <v>1743</v>
      </c>
      <c r="H80" s="7" t="s">
        <v>1909</v>
      </c>
      <c r="I80" s="7" t="str">
        <f aca="false">IF(IFERROR(INDEX($E$7:$E$11,MATCH(G80,$A$7:$A$11,0)),"")="Y","Y","N")</f>
        <v>N</v>
      </c>
    </row>
    <row r="81" customFormat="false" ht="15" hidden="false" customHeight="false" outlineLevel="0" collapsed="false">
      <c r="A81" s="7" t="s">
        <v>1910</v>
      </c>
      <c r="B81" s="7" t="s">
        <v>663</v>
      </c>
      <c r="C81" s="7" t="n">
        <v>202607</v>
      </c>
      <c r="D81" s="7" t="s">
        <v>780</v>
      </c>
      <c r="E81" s="7" t="s">
        <v>1244</v>
      </c>
      <c r="F81" s="7" t="n">
        <v>30</v>
      </c>
      <c r="G81" s="7" t="s">
        <v>1743</v>
      </c>
      <c r="H81" s="7" t="s">
        <v>1911</v>
      </c>
      <c r="I81" s="7" t="str">
        <f aca="false">IF(IFERROR(INDEX($E$7:$E$11,MATCH(G81,$A$7:$A$11,0)),"")="Y","Y","N")</f>
        <v>N</v>
      </c>
    </row>
    <row r="82" customFormat="false" ht="46.25" hidden="false" customHeight="false" outlineLevel="0" collapsed="false">
      <c r="A82" s="7" t="s">
        <v>1912</v>
      </c>
      <c r="B82" s="7" t="s">
        <v>1913</v>
      </c>
      <c r="C82" s="7" t="n">
        <v>202607</v>
      </c>
      <c r="D82" s="7" t="s">
        <v>780</v>
      </c>
      <c r="E82" s="7" t="s">
        <v>1244</v>
      </c>
      <c r="F82" s="7" t="n">
        <v>69</v>
      </c>
      <c r="G82" s="7" t="s">
        <v>1743</v>
      </c>
      <c r="H82" s="7" t="s">
        <v>1914</v>
      </c>
      <c r="I82" s="7" t="str">
        <f aca="false">IF(IFERROR(INDEX($E$7:$E$11,MATCH(G82,$A$7:$A$11,0)),"")="Y","Y","N")</f>
        <v>N</v>
      </c>
    </row>
    <row r="83" customFormat="false" ht="15" hidden="false" customHeight="false" outlineLevel="0" collapsed="false">
      <c r="A83" s="7" t="s">
        <v>1915</v>
      </c>
      <c r="B83" s="7" t="s">
        <v>1805</v>
      </c>
      <c r="C83" s="7" t="n">
        <v>202607</v>
      </c>
      <c r="D83" s="7" t="s">
        <v>780</v>
      </c>
      <c r="E83" s="7" t="s">
        <v>1244</v>
      </c>
      <c r="F83" s="7" t="n">
        <v>0</v>
      </c>
      <c r="G83" s="7" t="s">
        <v>1743</v>
      </c>
      <c r="H83" s="7" t="s">
        <v>1916</v>
      </c>
      <c r="I83" s="7" t="str">
        <f aca="false">IF(IFERROR(INDEX($E$7:$E$11,MATCH(G83,$A$7:$A$11,0)),"")="Y","Y","N")</f>
        <v>N</v>
      </c>
    </row>
    <row r="84" customFormat="false" ht="23.85" hidden="false" customHeight="false" outlineLevel="0" collapsed="false">
      <c r="A84" s="7" t="s">
        <v>1917</v>
      </c>
      <c r="B84" s="7" t="s">
        <v>1918</v>
      </c>
      <c r="C84" s="7" t="n">
        <v>202608</v>
      </c>
      <c r="D84" s="7" t="s">
        <v>780</v>
      </c>
      <c r="E84" s="7" t="s">
        <v>1244</v>
      </c>
      <c r="F84" s="7" t="n">
        <v>0</v>
      </c>
      <c r="G84" s="7" t="s">
        <v>1743</v>
      </c>
      <c r="H84" s="7" t="s">
        <v>1919</v>
      </c>
      <c r="I84" s="7" t="str">
        <f aca="false">IF(IFERROR(INDEX($E$7:$E$11,MATCH(G84,$A$7:$A$11,0)),"")="Y","Y","N")</f>
        <v>N</v>
      </c>
    </row>
    <row r="85" customFormat="false" ht="35.05" hidden="false" customHeight="false" outlineLevel="0" collapsed="false">
      <c r="A85" s="7" t="s">
        <v>1920</v>
      </c>
      <c r="B85" s="7" t="s">
        <v>1921</v>
      </c>
      <c r="C85" s="7" t="n">
        <v>202608</v>
      </c>
      <c r="D85" s="7" t="s">
        <v>780</v>
      </c>
      <c r="E85" s="7" t="s">
        <v>1257</v>
      </c>
      <c r="F85" s="7" t="n">
        <v>14</v>
      </c>
      <c r="G85" s="7" t="s">
        <v>1743</v>
      </c>
      <c r="H85" s="7" t="s">
        <v>1922</v>
      </c>
      <c r="I85" s="7" t="str">
        <f aca="false">IF(IFERROR(INDEX($E$7:$E$11,MATCH(G85,$A$7:$A$11,0)),"")="Y","Y","N")</f>
        <v>N</v>
      </c>
    </row>
    <row r="86" customFormat="false" ht="15" hidden="false" customHeight="false" outlineLevel="0" collapsed="false">
      <c r="A86" s="7" t="s">
        <v>1923</v>
      </c>
      <c r="B86" s="7" t="s">
        <v>1924</v>
      </c>
      <c r="C86" s="7" t="n">
        <v>202608</v>
      </c>
      <c r="D86" s="7" t="s">
        <v>780</v>
      </c>
      <c r="E86" s="7" t="s">
        <v>1244</v>
      </c>
      <c r="F86" s="7" t="n">
        <v>0</v>
      </c>
      <c r="G86" s="7" t="s">
        <v>1743</v>
      </c>
      <c r="H86" s="7" t="s">
        <v>1925</v>
      </c>
      <c r="I86" s="7" t="str">
        <f aca="false">IF(IFERROR(INDEX($E$7:$E$11,MATCH(G86,$A$7:$A$11,0)),"")="Y","Y","N")</f>
        <v>N</v>
      </c>
    </row>
    <row r="87" customFormat="false" ht="15" hidden="false" customHeight="false" outlineLevel="0" collapsed="false">
      <c r="A87" s="7" t="s">
        <v>1926</v>
      </c>
      <c r="B87" s="7" t="s">
        <v>704</v>
      </c>
      <c r="C87" s="7" t="n">
        <v>202609</v>
      </c>
      <c r="D87" s="7" t="s">
        <v>1780</v>
      </c>
      <c r="E87" s="7" t="s">
        <v>1257</v>
      </c>
      <c r="F87" s="7" t="n">
        <v>210</v>
      </c>
      <c r="G87" s="7" t="s">
        <v>1743</v>
      </c>
      <c r="H87" s="7" t="s">
        <v>1927</v>
      </c>
      <c r="I87" s="7" t="str">
        <f aca="false">IF(IFERROR(INDEX($E$7:$E$11,MATCH(G87,$A$7:$A$11,0)),"")="Y","Y","N")</f>
        <v>N</v>
      </c>
    </row>
    <row r="88" customFormat="false" ht="15" hidden="false" customHeight="false" outlineLevel="0" collapsed="false">
      <c r="A88" s="7" t="s">
        <v>1928</v>
      </c>
      <c r="B88" s="7" t="s">
        <v>707</v>
      </c>
      <c r="C88" s="7" t="n">
        <v>202609</v>
      </c>
      <c r="D88" s="7" t="s">
        <v>780</v>
      </c>
      <c r="E88" s="7" t="s">
        <v>1244</v>
      </c>
      <c r="F88" s="7" t="n">
        <v>0</v>
      </c>
      <c r="G88" s="7" t="s">
        <v>1743</v>
      </c>
      <c r="H88" s="7" t="s">
        <v>1929</v>
      </c>
      <c r="I88" s="7" t="str">
        <f aca="false">IF(IFERROR(INDEX($E$7:$E$11,MATCH(G88,$A$7:$A$11,0)),"")="Y","Y","N")</f>
        <v>N</v>
      </c>
    </row>
    <row r="89" customFormat="false" ht="23.85" hidden="false" customHeight="false" outlineLevel="0" collapsed="false">
      <c r="A89" s="7" t="s">
        <v>1930</v>
      </c>
      <c r="B89" s="7" t="s">
        <v>1931</v>
      </c>
      <c r="C89" s="7" t="n">
        <v>202609</v>
      </c>
      <c r="D89" s="7" t="s">
        <v>780</v>
      </c>
      <c r="E89" s="7" t="s">
        <v>1587</v>
      </c>
      <c r="F89" s="7" t="n">
        <v>30</v>
      </c>
      <c r="G89" s="7" t="s">
        <v>1743</v>
      </c>
      <c r="H89" s="7" t="s">
        <v>1932</v>
      </c>
      <c r="I89" s="7" t="str">
        <f aca="false">IF(IFERROR(INDEX($E$7:$E$11,MATCH(G89,$A$7:$A$11,0)),"")="Y","Y","N")</f>
        <v>N</v>
      </c>
    </row>
    <row r="90" customFormat="false" ht="46.25" hidden="false" customHeight="false" outlineLevel="0" collapsed="false">
      <c r="A90" s="7" t="s">
        <v>1933</v>
      </c>
      <c r="B90" s="7" t="s">
        <v>754</v>
      </c>
      <c r="C90" s="7" t="n">
        <v>202609</v>
      </c>
      <c r="D90" s="7" t="s">
        <v>769</v>
      </c>
      <c r="E90" s="7" t="s">
        <v>1257</v>
      </c>
      <c r="F90" s="7" t="n">
        <v>7</v>
      </c>
      <c r="G90" s="7" t="s">
        <v>1743</v>
      </c>
      <c r="H90" s="7" t="s">
        <v>1934</v>
      </c>
      <c r="I90" s="7" t="str">
        <f aca="false">IF(IFERROR(INDEX($E$7:$E$11,MATCH(G90,$A$7:$A$11,0)),"")="Y","Y","N")</f>
        <v>N</v>
      </c>
    </row>
    <row r="91" customFormat="false" ht="23.85" hidden="false" customHeight="false" outlineLevel="0" collapsed="false">
      <c r="A91" s="7" t="s">
        <v>1935</v>
      </c>
      <c r="B91" s="7" t="s">
        <v>1227</v>
      </c>
      <c r="C91" s="7" t="n">
        <v>202601</v>
      </c>
      <c r="D91" s="7" t="s">
        <v>780</v>
      </c>
      <c r="E91" s="7" t="s">
        <v>1244</v>
      </c>
      <c r="F91" s="7" t="n">
        <v>60</v>
      </c>
      <c r="G91" s="7" t="s">
        <v>1741</v>
      </c>
      <c r="H91" s="7" t="s">
        <v>1936</v>
      </c>
      <c r="I91" s="7" t="str">
        <f aca="false">IF(IFERROR(INDEX($E$7:$E$11,MATCH(G91,$A$7:$A$11,0)),"")="Y","Y","N")</f>
        <v>N</v>
      </c>
    </row>
    <row r="92" customFormat="false" ht="23.85" hidden="false" customHeight="false" outlineLevel="0" collapsed="false">
      <c r="A92" s="7" t="s">
        <v>1937</v>
      </c>
      <c r="B92" s="7" t="s">
        <v>1228</v>
      </c>
      <c r="C92" s="7" t="n">
        <v>202601</v>
      </c>
      <c r="D92" s="7" t="s">
        <v>1833</v>
      </c>
      <c r="E92" s="7" t="s">
        <v>1244</v>
      </c>
      <c r="F92" s="7" t="n">
        <v>150</v>
      </c>
      <c r="G92" s="7" t="s">
        <v>1741</v>
      </c>
      <c r="H92" s="7" t="s">
        <v>1938</v>
      </c>
      <c r="I92" s="7" t="str">
        <f aca="false">IF(IFERROR(INDEX($E$7:$E$11,MATCH(G92,$A$7:$A$11,0)),"")="Y","Y","N")</f>
        <v>N</v>
      </c>
    </row>
    <row r="93" customFormat="false" ht="23.85" hidden="false" customHeight="false" outlineLevel="0" collapsed="false">
      <c r="A93" s="7" t="s">
        <v>1939</v>
      </c>
      <c r="B93" s="7" t="s">
        <v>476</v>
      </c>
      <c r="C93" s="7" t="n">
        <v>202601</v>
      </c>
      <c r="D93" s="7" t="s">
        <v>1753</v>
      </c>
      <c r="E93" s="7" t="s">
        <v>1244</v>
      </c>
      <c r="F93" s="7" t="n">
        <v>60</v>
      </c>
      <c r="G93" s="7" t="s">
        <v>1741</v>
      </c>
      <c r="H93" s="7" t="s">
        <v>1940</v>
      </c>
      <c r="I93" s="7" t="str">
        <f aca="false">IF(IFERROR(INDEX($E$7:$E$11,MATCH(G93,$A$7:$A$11,0)),"")="Y","Y","N")</f>
        <v>N</v>
      </c>
    </row>
    <row r="94" customFormat="false" ht="46.25" hidden="false" customHeight="false" outlineLevel="0" collapsed="false">
      <c r="A94" s="7" t="s">
        <v>1941</v>
      </c>
      <c r="B94" s="7" t="s">
        <v>1942</v>
      </c>
      <c r="C94" s="7" t="n">
        <v>202601</v>
      </c>
      <c r="D94" s="7" t="s">
        <v>1753</v>
      </c>
      <c r="E94" s="7" t="s">
        <v>1257</v>
      </c>
      <c r="F94" s="7" t="n">
        <v>186</v>
      </c>
      <c r="G94" s="7" t="s">
        <v>1741</v>
      </c>
      <c r="H94" s="7" t="s">
        <v>1943</v>
      </c>
      <c r="I94" s="7" t="str">
        <f aca="false">IF(IFERROR(INDEX($E$7:$E$11,MATCH(G94,$A$7:$A$11,0)),"")="Y","Y","N")</f>
        <v>N</v>
      </c>
    </row>
    <row r="95" customFormat="false" ht="46.25" hidden="false" customHeight="false" outlineLevel="0" collapsed="false">
      <c r="A95" s="7" t="s">
        <v>1944</v>
      </c>
      <c r="B95" s="7" t="s">
        <v>488</v>
      </c>
      <c r="C95" s="7" t="n">
        <v>202602</v>
      </c>
      <c r="D95" s="7" t="s">
        <v>769</v>
      </c>
      <c r="E95" s="7" t="s">
        <v>1244</v>
      </c>
      <c r="F95" s="7" t="n">
        <v>150</v>
      </c>
      <c r="G95" s="7" t="s">
        <v>1741</v>
      </c>
      <c r="H95" s="7" t="s">
        <v>1945</v>
      </c>
      <c r="I95" s="7" t="str">
        <f aca="false">IF(IFERROR(INDEX($E$7:$E$11,MATCH(G95,$A$7:$A$11,0)),"")="Y","Y","N")</f>
        <v>N</v>
      </c>
    </row>
    <row r="96" customFormat="false" ht="23.85" hidden="false" customHeight="false" outlineLevel="0" collapsed="false">
      <c r="A96" s="7" t="s">
        <v>1946</v>
      </c>
      <c r="B96" s="7" t="s">
        <v>1947</v>
      </c>
      <c r="C96" s="7" t="n">
        <v>202602</v>
      </c>
      <c r="D96" s="7" t="s">
        <v>780</v>
      </c>
      <c r="E96" s="7" t="s">
        <v>772</v>
      </c>
      <c r="F96" s="7" t="n">
        <v>14</v>
      </c>
      <c r="G96" s="7" t="s">
        <v>1741</v>
      </c>
      <c r="H96" s="7" t="s">
        <v>1948</v>
      </c>
      <c r="I96" s="7" t="str">
        <f aca="false">IF(IFERROR(INDEX($E$7:$E$11,MATCH(G96,$A$7:$A$11,0)),"")="Y","Y","N")</f>
        <v>N</v>
      </c>
    </row>
    <row r="97" customFormat="false" ht="23.85" hidden="false" customHeight="false" outlineLevel="0" collapsed="false">
      <c r="A97" s="7" t="s">
        <v>1949</v>
      </c>
      <c r="B97" s="7" t="s">
        <v>1950</v>
      </c>
      <c r="C97" s="7" t="n">
        <v>202602</v>
      </c>
      <c r="D97" s="7" t="s">
        <v>769</v>
      </c>
      <c r="E97" s="7" t="s">
        <v>1244</v>
      </c>
      <c r="F97" s="7" t="n">
        <v>60</v>
      </c>
      <c r="G97" s="7" t="s">
        <v>1741</v>
      </c>
      <c r="H97" s="7" t="s">
        <v>1951</v>
      </c>
      <c r="I97" s="7" t="str">
        <f aca="false">IF(IFERROR(INDEX($E$7:$E$11,MATCH(G97,$A$7:$A$11,0)),"")="Y","Y","N")</f>
        <v>N</v>
      </c>
    </row>
    <row r="98" customFormat="false" ht="23.85" hidden="false" customHeight="false" outlineLevel="0" collapsed="false">
      <c r="A98" s="7" t="s">
        <v>1952</v>
      </c>
      <c r="B98" s="7" t="s">
        <v>1953</v>
      </c>
      <c r="C98" s="7" t="n">
        <v>202602</v>
      </c>
      <c r="D98" s="7" t="s">
        <v>1753</v>
      </c>
      <c r="E98" s="7" t="s">
        <v>772</v>
      </c>
      <c r="F98" s="7" t="n">
        <v>60</v>
      </c>
      <c r="G98" s="7" t="s">
        <v>1741</v>
      </c>
      <c r="H98" s="7" t="s">
        <v>1954</v>
      </c>
      <c r="I98" s="7" t="str">
        <f aca="false">IF(IFERROR(INDEX($E$7:$E$11,MATCH(G98,$A$7:$A$11,0)),"")="Y","Y","N")</f>
        <v>N</v>
      </c>
    </row>
    <row r="99" customFormat="false" ht="23.85" hidden="false" customHeight="false" outlineLevel="0" collapsed="false">
      <c r="A99" s="7" t="s">
        <v>1955</v>
      </c>
      <c r="B99" s="7" t="s">
        <v>581</v>
      </c>
      <c r="C99" s="7" t="n">
        <v>202604</v>
      </c>
      <c r="D99" s="7" t="s">
        <v>1753</v>
      </c>
      <c r="E99" s="7" t="s">
        <v>772</v>
      </c>
      <c r="F99" s="7" t="n">
        <v>30</v>
      </c>
      <c r="G99" s="7" t="s">
        <v>1741</v>
      </c>
      <c r="H99" s="7" t="s">
        <v>1956</v>
      </c>
      <c r="I99" s="7" t="str">
        <f aca="false">IF(IFERROR(INDEX($E$7:$E$11,MATCH(G99,$A$7:$A$11,0)),"")="Y","Y","N")</f>
        <v>N</v>
      </c>
    </row>
    <row r="100" customFormat="false" ht="23.85" hidden="false" customHeight="false" outlineLevel="0" collapsed="false">
      <c r="A100" s="7" t="s">
        <v>1957</v>
      </c>
      <c r="B100" s="7" t="s">
        <v>1848</v>
      </c>
      <c r="C100" s="7" t="n">
        <v>202604</v>
      </c>
      <c r="D100" s="7" t="s">
        <v>780</v>
      </c>
      <c r="E100" s="7" t="s">
        <v>1244</v>
      </c>
      <c r="F100" s="7" t="n">
        <v>0</v>
      </c>
      <c r="G100" s="7" t="s">
        <v>1741</v>
      </c>
      <c r="H100" s="7" t="s">
        <v>1958</v>
      </c>
      <c r="I100" s="7" t="str">
        <f aca="false">IF(IFERROR(INDEX($E$7:$E$11,MATCH(G100,$A$7:$A$11,0)),"")="Y","Y","N")</f>
        <v>N</v>
      </c>
    </row>
    <row r="101" customFormat="false" ht="35.05" hidden="false" customHeight="false" outlineLevel="0" collapsed="false">
      <c r="A101" s="7" t="s">
        <v>1959</v>
      </c>
      <c r="B101" s="7" t="s">
        <v>901</v>
      </c>
      <c r="C101" s="7" t="n">
        <v>202605</v>
      </c>
      <c r="D101" s="7" t="s">
        <v>769</v>
      </c>
      <c r="E101" s="7" t="s">
        <v>1244</v>
      </c>
      <c r="F101" s="7" t="n">
        <v>60</v>
      </c>
      <c r="G101" s="7" t="s">
        <v>1741</v>
      </c>
      <c r="H101" s="7" t="s">
        <v>1960</v>
      </c>
      <c r="I101" s="7" t="str">
        <f aca="false">IF(IFERROR(INDEX($E$7:$E$11,MATCH(G101,$A$7:$A$11,0)),"")="Y","Y","N")</f>
        <v>N</v>
      </c>
    </row>
    <row r="102" customFormat="false" ht="23.85" hidden="false" customHeight="false" outlineLevel="0" collapsed="false">
      <c r="A102" s="7" t="s">
        <v>1961</v>
      </c>
      <c r="B102" s="7" t="s">
        <v>1876</v>
      </c>
      <c r="C102" s="7" t="n">
        <v>202606</v>
      </c>
      <c r="D102" s="7" t="s">
        <v>780</v>
      </c>
      <c r="E102" s="7" t="s">
        <v>1962</v>
      </c>
      <c r="F102" s="7" t="n">
        <v>15</v>
      </c>
      <c r="G102" s="7" t="s">
        <v>1741</v>
      </c>
      <c r="H102" s="7" t="s">
        <v>1963</v>
      </c>
      <c r="I102" s="7" t="str">
        <f aca="false">IF(IFERROR(INDEX($E$7:$E$11,MATCH(G102,$A$7:$A$11,0)),"")="Y","Y","N")</f>
        <v>N</v>
      </c>
    </row>
    <row r="103" customFormat="false" ht="23.85" hidden="false" customHeight="false" outlineLevel="0" collapsed="false">
      <c r="A103" s="7" t="s">
        <v>1964</v>
      </c>
      <c r="B103" s="7" t="s">
        <v>1892</v>
      </c>
      <c r="C103" s="7" t="n">
        <v>202606</v>
      </c>
      <c r="D103" s="7" t="s">
        <v>780</v>
      </c>
      <c r="E103" s="7" t="s">
        <v>772</v>
      </c>
      <c r="F103" s="7" t="n">
        <v>6</v>
      </c>
      <c r="G103" s="7" t="s">
        <v>1741</v>
      </c>
      <c r="H103" s="7" t="s">
        <v>1965</v>
      </c>
      <c r="I103" s="7" t="str">
        <f aca="false">IF(IFERROR(INDEX($E$7:$E$11,MATCH(G103,$A$7:$A$11,0)),"")="Y","Y","N")</f>
        <v>N</v>
      </c>
    </row>
    <row r="104" customFormat="false" ht="23.85" hidden="false" customHeight="false" outlineLevel="0" collapsed="false">
      <c r="A104" s="7" t="s">
        <v>1966</v>
      </c>
      <c r="B104" s="7" t="s">
        <v>1967</v>
      </c>
      <c r="C104" s="7" t="n">
        <v>202607</v>
      </c>
      <c r="D104" s="7" t="s">
        <v>780</v>
      </c>
      <c r="E104" s="7" t="s">
        <v>1507</v>
      </c>
      <c r="F104" s="7" t="n">
        <v>15</v>
      </c>
      <c r="G104" s="7" t="s">
        <v>1741</v>
      </c>
      <c r="H104" s="7" t="s">
        <v>1968</v>
      </c>
      <c r="I104" s="7" t="str">
        <f aca="false">IF(IFERROR(INDEX($E$7:$E$11,MATCH(G104,$A$7:$A$11,0)),"")="Y","Y","N")</f>
        <v>N</v>
      </c>
    </row>
    <row r="105" customFormat="false" ht="23.85" hidden="false" customHeight="false" outlineLevel="0" collapsed="false">
      <c r="A105" s="7" t="s">
        <v>1969</v>
      </c>
      <c r="B105" s="7" t="s">
        <v>1921</v>
      </c>
      <c r="C105" s="7" t="n">
        <v>202608</v>
      </c>
      <c r="D105" s="7" t="s">
        <v>769</v>
      </c>
      <c r="E105" s="7" t="s">
        <v>1244</v>
      </c>
      <c r="F105" s="7" t="n">
        <v>120</v>
      </c>
      <c r="G105" s="7" t="s">
        <v>1741</v>
      </c>
      <c r="H105" s="7" t="s">
        <v>1970</v>
      </c>
      <c r="I105" s="7" t="str">
        <f aca="false">IF(IFERROR(INDEX($E$7:$E$11,MATCH(G105,$A$7:$A$11,0)),"")="Y","Y","N")</f>
        <v>N</v>
      </c>
    </row>
    <row r="106" customFormat="false" ht="23.85" hidden="false" customHeight="false" outlineLevel="0" collapsed="false">
      <c r="A106" s="7" t="s">
        <v>1971</v>
      </c>
      <c r="B106" s="7" t="s">
        <v>752</v>
      </c>
      <c r="C106" s="7" t="n">
        <v>202609</v>
      </c>
      <c r="D106" s="7" t="s">
        <v>1753</v>
      </c>
      <c r="E106" s="7" t="s">
        <v>1244</v>
      </c>
      <c r="F106" s="7" t="n">
        <v>120</v>
      </c>
      <c r="G106" s="7" t="s">
        <v>1741</v>
      </c>
      <c r="H106" s="7" t="s">
        <v>1972</v>
      </c>
      <c r="I106" s="7" t="str">
        <f aca="false">IF(IFERROR(INDEX($E$7:$E$11,MATCH(G106,$A$7:$A$11,0)),"")="Y","Y","N")</f>
        <v>N</v>
      </c>
    </row>
    <row r="107" customFormat="false" ht="23.85" hidden="false" customHeight="false" outlineLevel="0" collapsed="false">
      <c r="A107" s="7" t="s">
        <v>1973</v>
      </c>
      <c r="B107" s="7" t="s">
        <v>753</v>
      </c>
      <c r="C107" s="7" t="n">
        <v>202609</v>
      </c>
      <c r="D107" s="7" t="s">
        <v>1753</v>
      </c>
      <c r="E107" s="7" t="s">
        <v>1394</v>
      </c>
      <c r="F107" s="7" t="n">
        <v>12</v>
      </c>
      <c r="G107" s="7" t="s">
        <v>1741</v>
      </c>
      <c r="H107" s="7" t="s">
        <v>1974</v>
      </c>
      <c r="I107" s="7" t="str">
        <f aca="false">IF(IFERROR(INDEX($E$7:$E$11,MATCH(G107,$A$7:$A$11,0)),"")="Y","Y","N")</f>
        <v>N</v>
      </c>
    </row>
    <row r="108" customFormat="false" ht="46.25" hidden="false" customHeight="false" outlineLevel="0" collapsed="false">
      <c r="A108" s="7" t="s">
        <v>1975</v>
      </c>
      <c r="B108" s="7" t="s">
        <v>727</v>
      </c>
      <c r="C108" s="7" t="n">
        <v>202609</v>
      </c>
      <c r="D108" s="7" t="s">
        <v>769</v>
      </c>
      <c r="E108" s="7" t="s">
        <v>1257</v>
      </c>
      <c r="F108" s="7" t="n">
        <v>270</v>
      </c>
      <c r="G108" s="7" t="s">
        <v>1741</v>
      </c>
      <c r="H108" s="7" t="s">
        <v>1976</v>
      </c>
      <c r="I108" s="7" t="str">
        <f aca="false">IF(IFERROR(INDEX($E$7:$E$11,MATCH(G108,$A$7:$A$11,0)),"")="Y","Y","N")</f>
        <v>N</v>
      </c>
    </row>
    <row r="109" customFormat="false" ht="46.25" hidden="false" customHeight="false" outlineLevel="0" collapsed="false">
      <c r="A109" s="7" t="s">
        <v>1977</v>
      </c>
      <c r="B109" s="7" t="s">
        <v>758</v>
      </c>
      <c r="C109" s="7" t="n">
        <v>202609</v>
      </c>
      <c r="D109" s="7" t="s">
        <v>780</v>
      </c>
      <c r="E109" s="7" t="s">
        <v>1244</v>
      </c>
      <c r="F109" s="7" t="n">
        <v>60</v>
      </c>
      <c r="G109" s="7" t="s">
        <v>1741</v>
      </c>
      <c r="H109" s="7" t="s">
        <v>1978</v>
      </c>
      <c r="I109" s="7" t="str">
        <f aca="false">IF(IFERROR(INDEX($E$7:$E$11,MATCH(G109,$A$7:$A$11,0)),"")="Y","Y","N")</f>
        <v>N</v>
      </c>
    </row>
    <row r="110" customFormat="false" ht="23.85" hidden="false" customHeight="false" outlineLevel="0" collapsed="false">
      <c r="A110" s="7" t="s">
        <v>1979</v>
      </c>
      <c r="B110" s="7" t="s">
        <v>551</v>
      </c>
      <c r="C110" s="7" t="n">
        <v>202603</v>
      </c>
      <c r="D110" s="7" t="s">
        <v>769</v>
      </c>
      <c r="E110" s="7" t="s">
        <v>1244</v>
      </c>
      <c r="F110" s="7" t="n">
        <v>90</v>
      </c>
      <c r="G110" s="7" t="s">
        <v>1745</v>
      </c>
      <c r="H110" s="7" t="s">
        <v>1980</v>
      </c>
      <c r="I110" s="7" t="str">
        <f aca="false">IF(IFERROR(INDEX($E$7:$E$11,MATCH(G110,$A$7:$A$11,0)),"")="Y","Y","N")</f>
        <v>N</v>
      </c>
    </row>
    <row r="111" customFormat="false" ht="35.05" hidden="false" customHeight="false" outlineLevel="0" collapsed="false">
      <c r="A111" s="7" t="s">
        <v>1981</v>
      </c>
      <c r="B111" s="7" t="s">
        <v>1870</v>
      </c>
      <c r="C111" s="7" t="n">
        <v>202605</v>
      </c>
      <c r="D111" s="7" t="s">
        <v>769</v>
      </c>
      <c r="E111" s="7" t="s">
        <v>1244</v>
      </c>
      <c r="F111" s="7" t="n">
        <v>0</v>
      </c>
      <c r="G111" s="7" t="s">
        <v>1745</v>
      </c>
      <c r="H111" s="7" t="s">
        <v>1982</v>
      </c>
      <c r="I111" s="7" t="str">
        <f aca="false">IF(IFERROR(INDEX($E$7:$E$11,MATCH(G111,$A$7:$A$11,0)),"")="Y","Y","N")</f>
        <v>N</v>
      </c>
    </row>
    <row r="112" customFormat="false" ht="23.85" hidden="false" customHeight="false" outlineLevel="0" collapsed="false">
      <c r="A112" s="7" t="s">
        <v>1983</v>
      </c>
      <c r="B112" s="7" t="s">
        <v>1870</v>
      </c>
      <c r="C112" s="7" t="n">
        <v>202605</v>
      </c>
      <c r="D112" s="7" t="s">
        <v>769</v>
      </c>
      <c r="E112" s="7" t="s">
        <v>1244</v>
      </c>
      <c r="F112" s="7" t="n">
        <v>0</v>
      </c>
      <c r="G112" s="7" t="s">
        <v>1745</v>
      </c>
      <c r="H112" s="7" t="s">
        <v>1984</v>
      </c>
      <c r="I112" s="7" t="str">
        <f aca="false">IF(IFERROR(INDEX($E$7:$E$11,MATCH(G112,$A$7:$A$11,0)),"")="Y","Y","N")</f>
        <v>N</v>
      </c>
    </row>
    <row r="113" customFormat="false" ht="46.25" hidden="false" customHeight="false" outlineLevel="0" collapsed="false">
      <c r="A113" s="7" t="s">
        <v>1985</v>
      </c>
      <c r="B113" s="7" t="s">
        <v>1873</v>
      </c>
      <c r="C113" s="7" t="n">
        <v>202605</v>
      </c>
      <c r="D113" s="7" t="s">
        <v>769</v>
      </c>
      <c r="E113" s="7" t="s">
        <v>1587</v>
      </c>
      <c r="F113" s="7" t="n">
        <v>15</v>
      </c>
      <c r="G113" s="7" t="s">
        <v>1745</v>
      </c>
      <c r="H113" s="7" t="s">
        <v>1986</v>
      </c>
      <c r="I113" s="7" t="str">
        <f aca="false">IF(IFERROR(INDEX($E$7:$E$11,MATCH(G113,$A$7:$A$11,0)),"")="Y","Y","N")</f>
        <v>N</v>
      </c>
    </row>
    <row r="114" customFormat="false" ht="46.25" hidden="false" customHeight="false" outlineLevel="0" collapsed="false">
      <c r="A114" s="7" t="s">
        <v>1987</v>
      </c>
      <c r="B114" s="7" t="s">
        <v>650</v>
      </c>
      <c r="C114" s="7" t="n">
        <v>202606</v>
      </c>
      <c r="D114" s="7" t="s">
        <v>1753</v>
      </c>
      <c r="E114" s="7" t="s">
        <v>1786</v>
      </c>
      <c r="F114" s="7" t="n">
        <v>158</v>
      </c>
      <c r="G114" s="7" t="s">
        <v>1745</v>
      </c>
      <c r="H114" s="7" t="s">
        <v>1988</v>
      </c>
      <c r="I114" s="7" t="str">
        <f aca="false">IF(IFERROR(INDEX($E$7:$E$11,MATCH(G114,$A$7:$A$11,0)),"")="Y","Y","N")</f>
        <v>N</v>
      </c>
    </row>
    <row r="115" customFormat="false" ht="23.85" hidden="false" customHeight="false" outlineLevel="0" collapsed="false">
      <c r="A115" s="7" t="s">
        <v>1989</v>
      </c>
      <c r="B115" s="7" t="s">
        <v>655</v>
      </c>
      <c r="C115" s="7" t="n">
        <v>202606</v>
      </c>
      <c r="D115" s="7" t="s">
        <v>769</v>
      </c>
      <c r="E115" s="7" t="s">
        <v>1394</v>
      </c>
      <c r="F115" s="7" t="n">
        <v>30</v>
      </c>
      <c r="G115" s="7" t="s">
        <v>1745</v>
      </c>
      <c r="H115" s="7" t="s">
        <v>1990</v>
      </c>
      <c r="I115" s="7" t="str">
        <f aca="false">IF(IFERROR(INDEX($E$7:$E$11,MATCH(G115,$A$7:$A$11,0)),"")="Y","Y","N")</f>
        <v>N</v>
      </c>
    </row>
    <row r="116" customFormat="false" ht="23.85" hidden="false" customHeight="false" outlineLevel="0" collapsed="false">
      <c r="A116" s="7" t="s">
        <v>1991</v>
      </c>
      <c r="B116" s="7" t="s">
        <v>655</v>
      </c>
      <c r="C116" s="7" t="n">
        <v>202606</v>
      </c>
      <c r="D116" s="7" t="s">
        <v>769</v>
      </c>
      <c r="E116" s="7" t="s">
        <v>1394</v>
      </c>
      <c r="F116" s="7" t="n">
        <v>30</v>
      </c>
      <c r="G116" s="7" t="s">
        <v>1745</v>
      </c>
      <c r="H116" s="7" t="s">
        <v>1992</v>
      </c>
      <c r="I116" s="7" t="str">
        <f aca="false">IF(IFERROR(INDEX($E$7:$E$11,MATCH(G116,$A$7:$A$11,0)),"")="Y","Y","N")</f>
        <v>N</v>
      </c>
    </row>
    <row r="117" customFormat="false" ht="23.85" hidden="false" customHeight="false" outlineLevel="0" collapsed="false">
      <c r="A117" s="7" t="s">
        <v>1993</v>
      </c>
      <c r="B117" s="7" t="s">
        <v>655</v>
      </c>
      <c r="C117" s="7" t="n">
        <v>202606</v>
      </c>
      <c r="D117" s="7" t="s">
        <v>769</v>
      </c>
      <c r="E117" s="7" t="s">
        <v>1394</v>
      </c>
      <c r="F117" s="7" t="n">
        <v>60</v>
      </c>
      <c r="G117" s="7" t="s">
        <v>1745</v>
      </c>
      <c r="H117" s="7" t="s">
        <v>1994</v>
      </c>
      <c r="I117" s="7" t="str">
        <f aca="false">IF(IFERROR(INDEX($E$7:$E$11,MATCH(G117,$A$7:$A$11,0)),"")="Y","Y","N")</f>
        <v>N</v>
      </c>
    </row>
    <row r="118" customFormat="false" ht="23.85" hidden="false" customHeight="false" outlineLevel="0" collapsed="false">
      <c r="A118" s="7" t="s">
        <v>1995</v>
      </c>
      <c r="B118" s="7" t="s">
        <v>659</v>
      </c>
      <c r="C118" s="7" t="n">
        <v>202606</v>
      </c>
      <c r="D118" s="7" t="s">
        <v>769</v>
      </c>
      <c r="E118" s="7" t="s">
        <v>1394</v>
      </c>
      <c r="F118" s="7" t="n">
        <v>13</v>
      </c>
      <c r="G118" s="7" t="s">
        <v>1745</v>
      </c>
      <c r="H118" s="7" t="s">
        <v>1996</v>
      </c>
      <c r="I118" s="7" t="str">
        <f aca="false">IF(IFERROR(INDEX($E$7:$E$11,MATCH(G118,$A$7:$A$11,0)),"")="Y","Y","N")</f>
        <v>N</v>
      </c>
    </row>
    <row r="119" customFormat="false" ht="15" hidden="false" customHeight="false" outlineLevel="0" collapsed="false">
      <c r="A119" s="7" t="s">
        <v>1997</v>
      </c>
      <c r="B119" s="7" t="s">
        <v>668</v>
      </c>
      <c r="C119" s="7" t="n">
        <v>202607</v>
      </c>
      <c r="D119" s="7" t="s">
        <v>780</v>
      </c>
      <c r="E119" s="7" t="s">
        <v>1244</v>
      </c>
      <c r="F119" s="7" t="n">
        <v>120</v>
      </c>
      <c r="G119" s="7" t="s">
        <v>1745</v>
      </c>
      <c r="H119" s="7" t="s">
        <v>1600</v>
      </c>
      <c r="I119" s="7" t="str">
        <f aca="false">IF(IFERROR(INDEX($E$7:$E$11,MATCH(G119,$A$7:$A$11,0)),"")="Y","Y","N")</f>
        <v>N</v>
      </c>
    </row>
    <row r="120" customFormat="false" ht="23.85" hidden="false" customHeight="false" outlineLevel="0" collapsed="false">
      <c r="A120" s="7" t="s">
        <v>1998</v>
      </c>
      <c r="B120" s="7" t="s">
        <v>1918</v>
      </c>
      <c r="C120" s="7" t="n">
        <v>202608</v>
      </c>
      <c r="D120" s="7" t="s">
        <v>769</v>
      </c>
      <c r="E120" s="7" t="s">
        <v>1257</v>
      </c>
      <c r="F120" s="7" t="n">
        <v>0</v>
      </c>
      <c r="G120" s="7" t="s">
        <v>1745</v>
      </c>
      <c r="H120" s="7" t="s">
        <v>1999</v>
      </c>
      <c r="I120" s="7" t="str">
        <f aca="false">IF(IFERROR(INDEX($E$7:$E$11,MATCH(G120,$A$7:$A$11,0)),"")="Y","Y","N")</f>
        <v>N</v>
      </c>
    </row>
    <row r="121" customFormat="false" ht="46.25" hidden="false" customHeight="false" outlineLevel="0" collapsed="false">
      <c r="A121" s="7" t="s">
        <v>2000</v>
      </c>
      <c r="B121" s="7" t="s">
        <v>1918</v>
      </c>
      <c r="C121" s="7" t="n">
        <v>202608</v>
      </c>
      <c r="D121" s="7" t="s">
        <v>769</v>
      </c>
      <c r="E121" s="7" t="s">
        <v>1257</v>
      </c>
      <c r="F121" s="7" t="n">
        <v>13</v>
      </c>
      <c r="G121" s="7" t="s">
        <v>1745</v>
      </c>
      <c r="H121" s="7" t="s">
        <v>2001</v>
      </c>
      <c r="I121" s="7" t="str">
        <f aca="false">IF(IFERROR(INDEX($E$7:$E$11,MATCH(G121,$A$7:$A$11,0)),"")="Y","Y","N")</f>
        <v>N</v>
      </c>
    </row>
    <row r="122" customFormat="false" ht="15" hidden="false" customHeight="false" outlineLevel="0" collapsed="false">
      <c r="A122" s="7" t="s">
        <v>2002</v>
      </c>
      <c r="B122" s="7" t="s">
        <v>1918</v>
      </c>
      <c r="C122" s="7" t="n">
        <v>202608</v>
      </c>
      <c r="D122" s="7" t="s">
        <v>1753</v>
      </c>
      <c r="E122" s="7" t="s">
        <v>772</v>
      </c>
      <c r="F122" s="7" t="n">
        <v>67</v>
      </c>
      <c r="G122" s="7" t="s">
        <v>1745</v>
      </c>
      <c r="H122" s="7" t="s">
        <v>2003</v>
      </c>
      <c r="I122" s="7" t="str">
        <f aca="false">IF(IFERROR(INDEX($E$7:$E$11,MATCH(G122,$A$7:$A$11,0)),"")="Y","Y","N")</f>
        <v>N</v>
      </c>
    </row>
  </sheetData>
  <autoFilter ref="A15:I122"/>
  <mergeCells count="1">
    <mergeCell ref="A4:H4"/>
  </mergeCells>
  <dataValidations count="1">
    <dataValidation allowBlank="true" errorStyle="stop" operator="between" showDropDown="false" showErrorMessage="false" showInputMessage="false" sqref="E7:E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9"/>
    <col collapsed="false" customWidth="true" hidden="false" outlineLevel="0" max="4" min="4" style="0" width="7"/>
    <col collapsed="false" customWidth="true" hidden="false" outlineLevel="0" max="5" min="5" style="0" width="12"/>
    <col collapsed="false" customWidth="true" hidden="false" outlineLevel="0" max="6" min="6" style="0" width="8"/>
    <col collapsed="false" customWidth="true" hidden="false" outlineLevel="0" max="7" min="7" style="0" width="70"/>
    <col collapsed="false" customWidth="true" hidden="false" outlineLevel="0" max="9" min="8" style="0" width="12"/>
    <col collapsed="false" customWidth="true" hidden="false" outlineLevel="0" max="10" min="10" style="0" width="14"/>
    <col collapsed="false" customWidth="true" hidden="false" outlineLevel="0" max="11" min="11" style="0" width="25"/>
  </cols>
  <sheetData>
    <row r="1" customFormat="false" ht="17.35" hidden="false" customHeight="false" outlineLevel="0" collapsed="false">
      <c r="A1" s="1" t="s">
        <v>2004</v>
      </c>
    </row>
    <row r="2" customFormat="false" ht="15" hidden="false" customHeight="false" outlineLevel="0" collapsed="false">
      <c r="A2" s="2" t="s">
        <v>2005</v>
      </c>
    </row>
    <row r="4" customFormat="false" ht="30" hidden="false" customHeight="true" outlineLevel="0" collapsed="false">
      <c r="A4" s="5" t="s">
        <v>2006</v>
      </c>
      <c r="B4" s="5"/>
      <c r="C4" s="5"/>
      <c r="D4" s="5"/>
      <c r="E4" s="5"/>
      <c r="F4" s="5"/>
      <c r="G4" s="5"/>
      <c r="H4" s="5"/>
      <c r="I4" s="5"/>
      <c r="J4" s="5"/>
      <c r="K4" s="5"/>
    </row>
    <row r="6" customFormat="false" ht="30" hidden="false" customHeight="true" outlineLevel="0" collapsed="false">
      <c r="A6" s="6" t="s">
        <v>144</v>
      </c>
      <c r="B6" s="6" t="s">
        <v>1063</v>
      </c>
      <c r="C6" s="6" t="s">
        <v>145</v>
      </c>
      <c r="D6" s="6" t="s">
        <v>146</v>
      </c>
      <c r="E6" s="6" t="s">
        <v>2007</v>
      </c>
      <c r="F6" s="6" t="s">
        <v>148</v>
      </c>
      <c r="G6" s="6" t="s">
        <v>151</v>
      </c>
      <c r="H6" s="6" t="s">
        <v>2008</v>
      </c>
      <c r="I6" s="6" t="s">
        <v>2009</v>
      </c>
      <c r="J6" s="6" t="s">
        <v>2010</v>
      </c>
      <c r="K6" s="6" t="s">
        <v>154</v>
      </c>
    </row>
    <row r="7" customFormat="false" ht="46.25" hidden="false" customHeight="false" outlineLevel="0" collapsed="false">
      <c r="A7" s="7" t="s">
        <v>2011</v>
      </c>
      <c r="B7" s="7" t="s">
        <v>1152</v>
      </c>
      <c r="C7" s="7" t="s">
        <v>214</v>
      </c>
      <c r="D7" s="7" t="s">
        <v>353</v>
      </c>
      <c r="E7" s="7" t="s">
        <v>2012</v>
      </c>
      <c r="F7" s="22" t="n">
        <v>4.5</v>
      </c>
      <c r="G7" s="7" t="s">
        <v>2013</v>
      </c>
      <c r="H7" s="10"/>
      <c r="I7" s="10"/>
      <c r="J7" s="10"/>
      <c r="K7" s="10"/>
    </row>
    <row r="8" customFormat="false" ht="46.25" hidden="false" customHeight="false" outlineLevel="0" collapsed="false">
      <c r="A8" s="7" t="s">
        <v>2014</v>
      </c>
      <c r="B8" s="7" t="s">
        <v>1152</v>
      </c>
      <c r="C8" s="7" t="s">
        <v>214</v>
      </c>
      <c r="D8" s="7" t="s">
        <v>229</v>
      </c>
      <c r="E8" s="7" t="s">
        <v>2015</v>
      </c>
      <c r="F8" s="22" t="n">
        <v>2</v>
      </c>
      <c r="G8" s="7" t="s">
        <v>2016</v>
      </c>
      <c r="H8" s="10"/>
      <c r="I8" s="10"/>
      <c r="J8" s="10"/>
      <c r="K8" s="10"/>
    </row>
    <row r="9" customFormat="false" ht="46.25" hidden="false" customHeight="false" outlineLevel="0" collapsed="false">
      <c r="A9" s="7" t="s">
        <v>2017</v>
      </c>
      <c r="B9" s="7" t="s">
        <v>1152</v>
      </c>
      <c r="C9" s="7" t="s">
        <v>214</v>
      </c>
      <c r="D9" s="7" t="s">
        <v>229</v>
      </c>
      <c r="E9" s="7" t="s">
        <v>2018</v>
      </c>
      <c r="F9" s="22" t="n">
        <v>2</v>
      </c>
      <c r="G9" s="7" t="s">
        <v>2019</v>
      </c>
      <c r="H9" s="10"/>
      <c r="I9" s="10"/>
      <c r="J9" s="10"/>
      <c r="K9" s="10"/>
    </row>
    <row r="10" customFormat="false" ht="46.25" hidden="false" customHeight="false" outlineLevel="0" collapsed="false">
      <c r="A10" s="7" t="s">
        <v>2020</v>
      </c>
      <c r="B10" s="7" t="s">
        <v>1152</v>
      </c>
      <c r="C10" s="7" t="s">
        <v>214</v>
      </c>
      <c r="D10" s="7" t="s">
        <v>353</v>
      </c>
      <c r="E10" s="7" t="s">
        <v>2021</v>
      </c>
      <c r="F10" s="22" t="n">
        <v>2</v>
      </c>
      <c r="G10" s="7" t="s">
        <v>1155</v>
      </c>
      <c r="H10" s="10"/>
      <c r="I10" s="10"/>
      <c r="J10" s="10"/>
      <c r="K10" s="10"/>
    </row>
    <row r="11" customFormat="false" ht="35.05" hidden="false" customHeight="false" outlineLevel="0" collapsed="false">
      <c r="A11" s="7" t="s">
        <v>2022</v>
      </c>
      <c r="B11" s="7" t="s">
        <v>1069</v>
      </c>
      <c r="C11" s="7" t="s">
        <v>214</v>
      </c>
      <c r="D11" s="7" t="s">
        <v>2023</v>
      </c>
      <c r="E11" s="7" t="s">
        <v>2024</v>
      </c>
      <c r="F11" s="22" t="n">
        <v>0.95</v>
      </c>
      <c r="G11" s="7" t="s">
        <v>1140</v>
      </c>
      <c r="H11" s="10"/>
      <c r="I11" s="10"/>
      <c r="J11" s="10"/>
      <c r="K11" s="10"/>
    </row>
    <row r="12" customFormat="false" ht="35.05" hidden="false" customHeight="false" outlineLevel="0" collapsed="false">
      <c r="A12" s="7" t="s">
        <v>2025</v>
      </c>
      <c r="B12" s="7" t="s">
        <v>1069</v>
      </c>
      <c r="C12" s="7" t="s">
        <v>214</v>
      </c>
      <c r="D12" s="7" t="s">
        <v>718</v>
      </c>
      <c r="E12" s="7" t="s">
        <v>2026</v>
      </c>
      <c r="F12" s="22" t="n">
        <v>0.8</v>
      </c>
      <c r="G12" s="7" t="s">
        <v>2027</v>
      </c>
      <c r="H12" s="10"/>
      <c r="I12" s="10"/>
      <c r="J12" s="10"/>
      <c r="K12" s="10"/>
    </row>
    <row r="13" customFormat="false" ht="35.05" hidden="false" customHeight="false" outlineLevel="0" collapsed="false">
      <c r="A13" s="7" t="s">
        <v>2028</v>
      </c>
      <c r="B13" s="7" t="s">
        <v>1069</v>
      </c>
      <c r="C13" s="7" t="s">
        <v>214</v>
      </c>
      <c r="D13" s="7" t="s">
        <v>253</v>
      </c>
      <c r="E13" s="7" t="s">
        <v>2029</v>
      </c>
      <c r="F13" s="22" t="n">
        <v>0.68</v>
      </c>
      <c r="G13" s="7" t="s">
        <v>2030</v>
      </c>
      <c r="H13" s="10"/>
      <c r="I13" s="10"/>
      <c r="J13" s="10"/>
      <c r="K13" s="10"/>
    </row>
    <row r="14" customFormat="false" ht="35.05" hidden="false" customHeight="false" outlineLevel="0" collapsed="false">
      <c r="A14" s="7" t="s">
        <v>2031</v>
      </c>
      <c r="B14" s="7" t="s">
        <v>1069</v>
      </c>
      <c r="C14" s="7" t="s">
        <v>214</v>
      </c>
      <c r="D14" s="7" t="s">
        <v>333</v>
      </c>
      <c r="E14" s="7" t="s">
        <v>2032</v>
      </c>
      <c r="F14" s="22" t="n">
        <v>0.6</v>
      </c>
      <c r="G14" s="7" t="s">
        <v>2033</v>
      </c>
      <c r="H14" s="10"/>
      <c r="I14" s="10"/>
      <c r="J14" s="10"/>
      <c r="K14" s="10"/>
    </row>
    <row r="15" customFormat="false" ht="35.05" hidden="false" customHeight="false" outlineLevel="0" collapsed="false">
      <c r="A15" s="7" t="s">
        <v>2034</v>
      </c>
      <c r="B15" s="7" t="s">
        <v>1069</v>
      </c>
      <c r="C15" s="7" t="s">
        <v>214</v>
      </c>
      <c r="D15" s="7" t="s">
        <v>276</v>
      </c>
      <c r="E15" s="7" t="s">
        <v>2035</v>
      </c>
      <c r="F15" s="22" t="n">
        <v>0.52</v>
      </c>
      <c r="G15" s="7" t="s">
        <v>2036</v>
      </c>
      <c r="H15" s="10"/>
      <c r="I15" s="10"/>
      <c r="J15" s="10"/>
      <c r="K15" s="10"/>
    </row>
    <row r="16" customFormat="false" ht="46.25" hidden="false" customHeight="false" outlineLevel="0" collapsed="false">
      <c r="A16" s="7" t="s">
        <v>2037</v>
      </c>
      <c r="B16" s="7" t="s">
        <v>1069</v>
      </c>
      <c r="C16" s="7" t="s">
        <v>214</v>
      </c>
      <c r="D16" s="7" t="s">
        <v>236</v>
      </c>
      <c r="E16" s="7" t="s">
        <v>2038</v>
      </c>
      <c r="F16" s="22" t="n">
        <v>0.5</v>
      </c>
      <c r="G16" s="7" t="s">
        <v>2039</v>
      </c>
      <c r="H16" s="10"/>
      <c r="I16" s="10"/>
      <c r="J16" s="10"/>
      <c r="K16" s="10"/>
    </row>
    <row r="17" customFormat="false" ht="46.25" hidden="false" customHeight="false" outlineLevel="0" collapsed="false">
      <c r="A17" s="7" t="s">
        <v>2040</v>
      </c>
      <c r="B17" s="7" t="s">
        <v>1069</v>
      </c>
      <c r="C17" s="7" t="s">
        <v>214</v>
      </c>
      <c r="D17" s="7" t="s">
        <v>2023</v>
      </c>
      <c r="E17" s="7" t="s">
        <v>2041</v>
      </c>
      <c r="F17" s="22" t="n">
        <v>0.5</v>
      </c>
      <c r="G17" s="7" t="s">
        <v>2042</v>
      </c>
      <c r="H17" s="10"/>
      <c r="I17" s="10"/>
      <c r="J17" s="10"/>
      <c r="K17" s="10"/>
    </row>
    <row r="18" customFormat="false" ht="46.25" hidden="false" customHeight="false" outlineLevel="0" collapsed="false">
      <c r="A18" s="7" t="s">
        <v>2043</v>
      </c>
      <c r="B18" s="7" t="s">
        <v>1069</v>
      </c>
      <c r="C18" s="7" t="s">
        <v>214</v>
      </c>
      <c r="D18" s="7" t="s">
        <v>236</v>
      </c>
      <c r="E18" s="7" t="s">
        <v>2044</v>
      </c>
      <c r="F18" s="22" t="n">
        <v>0.5</v>
      </c>
      <c r="G18" s="7" t="s">
        <v>2045</v>
      </c>
      <c r="H18" s="10"/>
      <c r="I18" s="10"/>
      <c r="J18" s="10"/>
      <c r="K18" s="10"/>
    </row>
    <row r="19" customFormat="false" ht="35.05" hidden="false" customHeight="false" outlineLevel="0" collapsed="false">
      <c r="A19" s="7" t="s">
        <v>2046</v>
      </c>
      <c r="B19" s="7" t="s">
        <v>1069</v>
      </c>
      <c r="C19" s="7" t="s">
        <v>214</v>
      </c>
      <c r="D19" s="7" t="s">
        <v>258</v>
      </c>
      <c r="E19" s="7" t="s">
        <v>2047</v>
      </c>
      <c r="F19" s="22" t="n">
        <v>0.48</v>
      </c>
      <c r="G19" s="7" t="s">
        <v>2048</v>
      </c>
      <c r="H19" s="10"/>
      <c r="I19" s="10"/>
      <c r="J19" s="10"/>
      <c r="K19" s="10"/>
    </row>
    <row r="20" customFormat="false" ht="35.05" hidden="false" customHeight="false" outlineLevel="0" collapsed="false">
      <c r="A20" s="7" t="s">
        <v>2049</v>
      </c>
      <c r="B20" s="7" t="s">
        <v>1069</v>
      </c>
      <c r="C20" s="7" t="s">
        <v>214</v>
      </c>
      <c r="D20" s="7" t="s">
        <v>236</v>
      </c>
      <c r="E20" s="7" t="s">
        <v>2050</v>
      </c>
      <c r="F20" s="22" t="n">
        <v>0.48</v>
      </c>
      <c r="G20" s="7" t="s">
        <v>1141</v>
      </c>
      <c r="H20" s="10"/>
      <c r="I20" s="10"/>
      <c r="J20" s="10"/>
      <c r="K20" s="10"/>
    </row>
    <row r="21" customFormat="false" ht="35.05" hidden="false" customHeight="false" outlineLevel="0" collapsed="false">
      <c r="A21" s="7" t="s">
        <v>2051</v>
      </c>
      <c r="B21" s="7" t="s">
        <v>1069</v>
      </c>
      <c r="C21" s="7" t="s">
        <v>214</v>
      </c>
      <c r="D21" s="7" t="s">
        <v>233</v>
      </c>
      <c r="E21" s="7" t="s">
        <v>2052</v>
      </c>
      <c r="F21" s="22" t="n">
        <v>0.48</v>
      </c>
      <c r="G21" s="7" t="s">
        <v>2053</v>
      </c>
      <c r="H21" s="10"/>
      <c r="I21" s="10"/>
      <c r="J21" s="10"/>
      <c r="K21" s="10"/>
    </row>
    <row r="22" customFormat="false" ht="35.05" hidden="false" customHeight="false" outlineLevel="0" collapsed="false">
      <c r="A22" s="7" t="s">
        <v>2054</v>
      </c>
      <c r="B22" s="7" t="s">
        <v>1069</v>
      </c>
      <c r="C22" s="7" t="s">
        <v>214</v>
      </c>
      <c r="D22" s="7" t="s">
        <v>253</v>
      </c>
      <c r="E22" s="7" t="s">
        <v>2055</v>
      </c>
      <c r="F22" s="22" t="n">
        <v>0.48</v>
      </c>
      <c r="G22" s="7" t="s">
        <v>2056</v>
      </c>
      <c r="H22" s="10"/>
      <c r="I22" s="10"/>
      <c r="J22" s="10"/>
      <c r="K22" s="10"/>
    </row>
    <row r="23" customFormat="false" ht="46.25" hidden="false" customHeight="false" outlineLevel="0" collapsed="false">
      <c r="A23" s="7" t="s">
        <v>2057</v>
      </c>
      <c r="B23" s="7" t="s">
        <v>1069</v>
      </c>
      <c r="C23" s="7" t="s">
        <v>214</v>
      </c>
      <c r="D23" s="7" t="s">
        <v>258</v>
      </c>
      <c r="E23" s="7" t="s">
        <v>2058</v>
      </c>
      <c r="F23" s="22" t="n">
        <v>0.48</v>
      </c>
      <c r="G23" s="7" t="s">
        <v>2059</v>
      </c>
      <c r="H23" s="10"/>
      <c r="I23" s="10"/>
      <c r="J23" s="10"/>
      <c r="K23" s="10"/>
    </row>
    <row r="24" customFormat="false" ht="46.25" hidden="false" customHeight="false" outlineLevel="0" collapsed="false">
      <c r="A24" s="7" t="s">
        <v>2060</v>
      </c>
      <c r="B24" s="7" t="s">
        <v>1069</v>
      </c>
      <c r="C24" s="7" t="s">
        <v>214</v>
      </c>
      <c r="D24" s="7" t="s">
        <v>215</v>
      </c>
      <c r="E24" s="7" t="s">
        <v>2061</v>
      </c>
      <c r="F24" s="22" t="n">
        <v>0.45</v>
      </c>
      <c r="G24" s="7" t="s">
        <v>2062</v>
      </c>
      <c r="H24" s="10"/>
      <c r="I24" s="10"/>
      <c r="J24" s="10"/>
      <c r="K24" s="10"/>
    </row>
    <row r="25" customFormat="false" ht="46.25" hidden="false" customHeight="false" outlineLevel="0" collapsed="false">
      <c r="A25" s="7" t="s">
        <v>2063</v>
      </c>
      <c r="B25" s="7" t="s">
        <v>1069</v>
      </c>
      <c r="C25" s="7" t="s">
        <v>214</v>
      </c>
      <c r="D25" s="7" t="s">
        <v>239</v>
      </c>
      <c r="E25" s="7" t="s">
        <v>2064</v>
      </c>
      <c r="F25" s="22" t="n">
        <v>0.45</v>
      </c>
      <c r="G25" s="7" t="s">
        <v>2065</v>
      </c>
      <c r="H25" s="10"/>
      <c r="I25" s="10"/>
      <c r="J25" s="10"/>
      <c r="K25" s="10"/>
    </row>
    <row r="26" customFormat="false" ht="35.05" hidden="false" customHeight="false" outlineLevel="0" collapsed="false">
      <c r="A26" s="7" t="s">
        <v>2066</v>
      </c>
      <c r="B26" s="7" t="s">
        <v>1069</v>
      </c>
      <c r="C26" s="7" t="s">
        <v>214</v>
      </c>
      <c r="D26" s="7" t="s">
        <v>239</v>
      </c>
      <c r="E26" s="7" t="s">
        <v>2067</v>
      </c>
      <c r="F26" s="22" t="n">
        <v>0.43</v>
      </c>
      <c r="G26" s="7" t="s">
        <v>2068</v>
      </c>
      <c r="H26" s="10"/>
      <c r="I26" s="10"/>
      <c r="J26" s="10"/>
      <c r="K26" s="10"/>
    </row>
    <row r="27" customFormat="false" ht="35.05" hidden="false" customHeight="false" outlineLevel="0" collapsed="false">
      <c r="A27" s="7" t="s">
        <v>2069</v>
      </c>
      <c r="B27" s="7" t="s">
        <v>1069</v>
      </c>
      <c r="C27" s="7" t="s">
        <v>214</v>
      </c>
      <c r="D27" s="7" t="s">
        <v>215</v>
      </c>
      <c r="E27" s="7" t="s">
        <v>2070</v>
      </c>
      <c r="F27" s="22" t="n">
        <v>0.43</v>
      </c>
      <c r="G27" s="7" t="s">
        <v>2071</v>
      </c>
      <c r="H27" s="10"/>
      <c r="I27" s="10"/>
      <c r="J27" s="10"/>
      <c r="K27" s="10"/>
    </row>
    <row r="28" customFormat="false" ht="46.25" hidden="false" customHeight="false" outlineLevel="0" collapsed="false">
      <c r="A28" s="7" t="s">
        <v>2072</v>
      </c>
      <c r="B28" s="7" t="s">
        <v>1069</v>
      </c>
      <c r="C28" s="7" t="s">
        <v>214</v>
      </c>
      <c r="D28" s="7" t="s">
        <v>239</v>
      </c>
      <c r="E28" s="7" t="s">
        <v>2073</v>
      </c>
      <c r="F28" s="22" t="n">
        <v>0.42</v>
      </c>
      <c r="G28" s="7" t="s">
        <v>2074</v>
      </c>
      <c r="H28" s="10"/>
      <c r="I28" s="10"/>
      <c r="J28" s="10"/>
      <c r="K28" s="10"/>
    </row>
    <row r="29" customFormat="false" ht="35.05" hidden="false" customHeight="false" outlineLevel="0" collapsed="false">
      <c r="A29" s="7" t="s">
        <v>2075</v>
      </c>
      <c r="B29" s="7" t="s">
        <v>1069</v>
      </c>
      <c r="C29" s="7" t="s">
        <v>214</v>
      </c>
      <c r="D29" s="7" t="s">
        <v>236</v>
      </c>
      <c r="E29" s="7" t="s">
        <v>2076</v>
      </c>
      <c r="F29" s="22" t="n">
        <v>0.38</v>
      </c>
      <c r="G29" s="7" t="s">
        <v>2077</v>
      </c>
      <c r="H29" s="10"/>
      <c r="I29" s="10"/>
      <c r="J29" s="10"/>
      <c r="K29" s="10"/>
    </row>
    <row r="30" customFormat="false" ht="35.05" hidden="false" customHeight="false" outlineLevel="0" collapsed="false">
      <c r="A30" s="7" t="s">
        <v>2078</v>
      </c>
      <c r="B30" s="7" t="s">
        <v>1069</v>
      </c>
      <c r="C30" s="7" t="s">
        <v>214</v>
      </c>
      <c r="D30" s="7" t="s">
        <v>236</v>
      </c>
      <c r="E30" s="7" t="s">
        <v>2079</v>
      </c>
      <c r="F30" s="22" t="n">
        <v>0.38</v>
      </c>
      <c r="G30" s="7" t="s">
        <v>2080</v>
      </c>
      <c r="H30" s="10"/>
      <c r="I30" s="10"/>
      <c r="J30" s="10"/>
      <c r="K30" s="10"/>
    </row>
    <row r="31" customFormat="false" ht="35.05" hidden="false" customHeight="false" outlineLevel="0" collapsed="false">
      <c r="A31" s="7" t="s">
        <v>2081</v>
      </c>
      <c r="B31" s="7" t="s">
        <v>1069</v>
      </c>
      <c r="C31" s="7" t="s">
        <v>214</v>
      </c>
      <c r="D31" s="7" t="s">
        <v>253</v>
      </c>
      <c r="E31" s="7" t="s">
        <v>2082</v>
      </c>
      <c r="F31" s="22" t="n">
        <v>0.38</v>
      </c>
      <c r="G31" s="7" t="s">
        <v>2083</v>
      </c>
      <c r="H31" s="10"/>
      <c r="I31" s="10"/>
      <c r="J31" s="10"/>
      <c r="K31" s="10"/>
    </row>
    <row r="32" customFormat="false" ht="35.05" hidden="false" customHeight="false" outlineLevel="0" collapsed="false">
      <c r="A32" s="7" t="s">
        <v>2084</v>
      </c>
      <c r="B32" s="7" t="s">
        <v>1069</v>
      </c>
      <c r="C32" s="7" t="s">
        <v>214</v>
      </c>
      <c r="D32" s="7" t="s">
        <v>239</v>
      </c>
      <c r="E32" s="7" t="s">
        <v>2085</v>
      </c>
      <c r="F32" s="22" t="n">
        <v>0.38</v>
      </c>
      <c r="G32" s="7" t="s">
        <v>2086</v>
      </c>
      <c r="H32" s="10"/>
      <c r="I32" s="10"/>
      <c r="J32" s="10"/>
      <c r="K32" s="10"/>
    </row>
    <row r="33" customFormat="false" ht="35.05" hidden="false" customHeight="false" outlineLevel="0" collapsed="false">
      <c r="A33" s="7" t="s">
        <v>2087</v>
      </c>
      <c r="B33" s="7" t="s">
        <v>1069</v>
      </c>
      <c r="C33" s="7" t="s">
        <v>214</v>
      </c>
      <c r="D33" s="7" t="s">
        <v>239</v>
      </c>
      <c r="E33" s="7" t="s">
        <v>2088</v>
      </c>
      <c r="F33" s="22" t="n">
        <v>0.38</v>
      </c>
      <c r="G33" s="7" t="s">
        <v>2089</v>
      </c>
      <c r="H33" s="10"/>
      <c r="I33" s="10"/>
      <c r="J33" s="10"/>
      <c r="K33" s="10"/>
    </row>
    <row r="34" customFormat="false" ht="35.05" hidden="false" customHeight="false" outlineLevel="0" collapsed="false">
      <c r="A34" s="7" t="s">
        <v>2090</v>
      </c>
      <c r="B34" s="7" t="s">
        <v>1069</v>
      </c>
      <c r="C34" s="7" t="s">
        <v>214</v>
      </c>
      <c r="D34" s="7" t="s">
        <v>239</v>
      </c>
      <c r="E34" s="7" t="s">
        <v>2091</v>
      </c>
      <c r="F34" s="22" t="n">
        <v>0.38</v>
      </c>
      <c r="G34" s="7" t="s">
        <v>2092</v>
      </c>
      <c r="H34" s="10"/>
      <c r="I34" s="10"/>
      <c r="J34" s="10"/>
      <c r="K34" s="10"/>
    </row>
    <row r="35" customFormat="false" ht="35.05" hidden="false" customHeight="false" outlineLevel="0" collapsed="false">
      <c r="A35" s="7" t="s">
        <v>2093</v>
      </c>
      <c r="B35" s="7" t="s">
        <v>1069</v>
      </c>
      <c r="C35" s="7" t="s">
        <v>214</v>
      </c>
      <c r="D35" s="7" t="s">
        <v>239</v>
      </c>
      <c r="E35" s="7" t="s">
        <v>2094</v>
      </c>
      <c r="F35" s="22" t="n">
        <v>0.38</v>
      </c>
      <c r="G35" s="7" t="s">
        <v>2095</v>
      </c>
      <c r="H35" s="10"/>
      <c r="I35" s="10"/>
      <c r="J35" s="10"/>
      <c r="K35" s="10"/>
    </row>
    <row r="36" customFormat="false" ht="35.05" hidden="false" customHeight="false" outlineLevel="0" collapsed="false">
      <c r="A36" s="7" t="s">
        <v>2096</v>
      </c>
      <c r="B36" s="7" t="s">
        <v>1069</v>
      </c>
      <c r="C36" s="7" t="s">
        <v>214</v>
      </c>
      <c r="D36" s="7" t="s">
        <v>239</v>
      </c>
      <c r="E36" s="7" t="s">
        <v>2097</v>
      </c>
      <c r="F36" s="22" t="n">
        <v>0.38</v>
      </c>
      <c r="G36" s="7" t="s">
        <v>2098</v>
      </c>
      <c r="H36" s="10"/>
      <c r="I36" s="10"/>
      <c r="J36" s="10"/>
      <c r="K36" s="10"/>
    </row>
    <row r="37" customFormat="false" ht="35.05" hidden="false" customHeight="false" outlineLevel="0" collapsed="false">
      <c r="A37" s="7" t="s">
        <v>2099</v>
      </c>
      <c r="B37" s="7" t="s">
        <v>1069</v>
      </c>
      <c r="C37" s="7" t="s">
        <v>214</v>
      </c>
      <c r="D37" s="7" t="s">
        <v>239</v>
      </c>
      <c r="E37" s="7" t="s">
        <v>2100</v>
      </c>
      <c r="F37" s="22" t="n">
        <v>0.38</v>
      </c>
      <c r="G37" s="7" t="s">
        <v>2101</v>
      </c>
      <c r="H37" s="10"/>
      <c r="I37" s="10"/>
      <c r="J37" s="10"/>
      <c r="K37" s="10"/>
    </row>
    <row r="38" customFormat="false" ht="35.05" hidden="false" customHeight="false" outlineLevel="0" collapsed="false">
      <c r="A38" s="7" t="s">
        <v>2102</v>
      </c>
      <c r="B38" s="7" t="s">
        <v>1069</v>
      </c>
      <c r="C38" s="7" t="s">
        <v>214</v>
      </c>
      <c r="D38" s="7" t="s">
        <v>215</v>
      </c>
      <c r="E38" s="7" t="s">
        <v>2103</v>
      </c>
      <c r="F38" s="22" t="n">
        <v>0.38</v>
      </c>
      <c r="G38" s="7" t="s">
        <v>2104</v>
      </c>
      <c r="H38" s="10"/>
      <c r="I38" s="10"/>
      <c r="J38" s="10"/>
      <c r="K38" s="10"/>
    </row>
    <row r="39" customFormat="false" ht="35.05" hidden="false" customHeight="false" outlineLevel="0" collapsed="false">
      <c r="A39" s="7" t="s">
        <v>2105</v>
      </c>
      <c r="B39" s="7" t="s">
        <v>1069</v>
      </c>
      <c r="C39" s="7" t="s">
        <v>214</v>
      </c>
      <c r="D39" s="7" t="s">
        <v>272</v>
      </c>
      <c r="E39" s="7" t="s">
        <v>2106</v>
      </c>
      <c r="F39" s="22" t="n">
        <v>0.38</v>
      </c>
      <c r="G39" s="7" t="s">
        <v>2107</v>
      </c>
      <c r="H39" s="10"/>
      <c r="I39" s="10"/>
      <c r="J39" s="10"/>
      <c r="K39" s="10"/>
    </row>
    <row r="40" customFormat="false" ht="35.05" hidden="false" customHeight="false" outlineLevel="0" collapsed="false">
      <c r="A40" s="7" t="s">
        <v>2108</v>
      </c>
      <c r="B40" s="7" t="s">
        <v>1069</v>
      </c>
      <c r="C40" s="7" t="s">
        <v>214</v>
      </c>
      <c r="D40" s="7" t="s">
        <v>272</v>
      </c>
      <c r="E40" s="7" t="s">
        <v>2109</v>
      </c>
      <c r="F40" s="22" t="n">
        <v>0.38</v>
      </c>
      <c r="G40" s="7" t="s">
        <v>2110</v>
      </c>
      <c r="H40" s="10"/>
      <c r="I40" s="10"/>
      <c r="J40" s="10"/>
      <c r="K40" s="10"/>
    </row>
    <row r="41" customFormat="false" ht="35.05" hidden="false" customHeight="false" outlineLevel="0" collapsed="false">
      <c r="A41" s="7" t="s">
        <v>2111</v>
      </c>
      <c r="B41" s="7" t="s">
        <v>1069</v>
      </c>
      <c r="C41" s="7" t="s">
        <v>214</v>
      </c>
      <c r="D41" s="7" t="s">
        <v>265</v>
      </c>
      <c r="E41" s="7" t="s">
        <v>2112</v>
      </c>
      <c r="F41" s="22" t="n">
        <v>0.38</v>
      </c>
      <c r="G41" s="7" t="s">
        <v>2113</v>
      </c>
      <c r="H41" s="10"/>
      <c r="I41" s="10"/>
      <c r="J41" s="10"/>
      <c r="K41" s="10"/>
    </row>
    <row r="42" customFormat="false" ht="35.05" hidden="false" customHeight="false" outlineLevel="0" collapsed="false">
      <c r="A42" s="7" t="s">
        <v>2114</v>
      </c>
      <c r="B42" s="7" t="s">
        <v>1069</v>
      </c>
      <c r="C42" s="7" t="s">
        <v>214</v>
      </c>
      <c r="D42" s="7" t="s">
        <v>239</v>
      </c>
      <c r="E42" s="7" t="s">
        <v>2115</v>
      </c>
      <c r="F42" s="22" t="n">
        <v>0.38</v>
      </c>
      <c r="G42" s="7" t="s">
        <v>2116</v>
      </c>
      <c r="H42" s="10"/>
      <c r="I42" s="10"/>
      <c r="J42" s="10"/>
      <c r="K42" s="10"/>
    </row>
    <row r="43" customFormat="false" ht="35.05" hidden="false" customHeight="false" outlineLevel="0" collapsed="false">
      <c r="A43" s="7" t="s">
        <v>2117</v>
      </c>
      <c r="B43" s="7" t="s">
        <v>1069</v>
      </c>
      <c r="C43" s="7" t="s">
        <v>214</v>
      </c>
      <c r="D43" s="7" t="s">
        <v>239</v>
      </c>
      <c r="E43" s="7" t="s">
        <v>2118</v>
      </c>
      <c r="F43" s="22" t="n">
        <v>0.38</v>
      </c>
      <c r="G43" s="7" t="s">
        <v>2119</v>
      </c>
      <c r="H43" s="10"/>
      <c r="I43" s="10"/>
      <c r="J43" s="10"/>
      <c r="K43" s="10"/>
    </row>
    <row r="44" customFormat="false" ht="35.05" hidden="false" customHeight="false" outlineLevel="0" collapsed="false">
      <c r="A44" s="7" t="s">
        <v>2120</v>
      </c>
      <c r="B44" s="7" t="s">
        <v>1069</v>
      </c>
      <c r="C44" s="7" t="s">
        <v>214</v>
      </c>
      <c r="D44" s="7" t="s">
        <v>276</v>
      </c>
      <c r="E44" s="7" t="s">
        <v>2121</v>
      </c>
      <c r="F44" s="22" t="n">
        <v>0.38</v>
      </c>
      <c r="G44" s="7" t="s">
        <v>2122</v>
      </c>
      <c r="H44" s="10"/>
      <c r="I44" s="10"/>
      <c r="J44" s="10"/>
      <c r="K44" s="10"/>
    </row>
    <row r="45" customFormat="false" ht="35.05" hidden="false" customHeight="false" outlineLevel="0" collapsed="false">
      <c r="A45" s="7" t="s">
        <v>2123</v>
      </c>
      <c r="B45" s="7" t="s">
        <v>1069</v>
      </c>
      <c r="C45" s="7" t="s">
        <v>214</v>
      </c>
      <c r="D45" s="7" t="s">
        <v>2023</v>
      </c>
      <c r="E45" s="7" t="s">
        <v>2124</v>
      </c>
      <c r="F45" s="22" t="n">
        <v>0.38</v>
      </c>
      <c r="G45" s="7" t="s">
        <v>2125</v>
      </c>
      <c r="H45" s="10"/>
      <c r="I45" s="10"/>
      <c r="J45" s="10"/>
      <c r="K45" s="10"/>
    </row>
    <row r="46" customFormat="false" ht="35.05" hidden="false" customHeight="false" outlineLevel="0" collapsed="false">
      <c r="A46" s="7" t="s">
        <v>2126</v>
      </c>
      <c r="B46" s="7" t="s">
        <v>1069</v>
      </c>
      <c r="C46" s="7" t="s">
        <v>214</v>
      </c>
      <c r="D46" s="7" t="s">
        <v>215</v>
      </c>
      <c r="E46" s="7" t="s">
        <v>2127</v>
      </c>
      <c r="F46" s="22" t="n">
        <v>0.38</v>
      </c>
      <c r="G46" s="7" t="s">
        <v>2128</v>
      </c>
      <c r="H46" s="10"/>
      <c r="I46" s="10"/>
      <c r="J46" s="10"/>
      <c r="K46" s="10"/>
    </row>
    <row r="47" customFormat="false" ht="15" hidden="false" customHeight="false" outlineLevel="0" collapsed="false">
      <c r="A47" s="13" t="s">
        <v>389</v>
      </c>
      <c r="B47" s="14"/>
      <c r="C47" s="14"/>
      <c r="D47" s="14"/>
      <c r="E47" s="14"/>
      <c r="F47" s="23" t="n">
        <f aca="false">SUM(F7:F46)</f>
        <v>26.97</v>
      </c>
      <c r="G47" s="14"/>
      <c r="H47" s="14"/>
      <c r="I47" s="14"/>
      <c r="J47" s="14"/>
      <c r="K47" s="14"/>
    </row>
  </sheetData>
  <autoFilter ref="A6:K46"/>
  <mergeCells count="1">
    <mergeCell ref="A4: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9"/>
    <col collapsed="false" customWidth="true" hidden="false" outlineLevel="0" max="5" min="4" style="0" width="10"/>
    <col collapsed="false" customWidth="true" hidden="false" outlineLevel="0" max="6" min="6" style="0" width="35"/>
    <col collapsed="false" customWidth="true" hidden="false" outlineLevel="0" max="7" min="7" style="0" width="80"/>
    <col collapsed="false" customWidth="true" hidden="false" outlineLevel="0" max="8" min="8" style="0" width="30"/>
  </cols>
  <sheetData>
    <row r="1" customFormat="false" ht="17.35" hidden="false" customHeight="false" outlineLevel="0" collapsed="false">
      <c r="A1" s="1" t="s">
        <v>2129</v>
      </c>
    </row>
    <row r="2" customFormat="false" ht="15" hidden="false" customHeight="false" outlineLevel="0" collapsed="false">
      <c r="A2" s="2" t="s">
        <v>2130</v>
      </c>
    </row>
    <row r="4" customFormat="false" ht="45" hidden="false" customHeight="true" outlineLevel="0" collapsed="false">
      <c r="A4" s="5" t="s">
        <v>2131</v>
      </c>
      <c r="B4" s="5"/>
      <c r="C4" s="5"/>
      <c r="D4" s="5"/>
      <c r="E4" s="5"/>
      <c r="F4" s="5"/>
      <c r="G4" s="5"/>
      <c r="H4" s="5"/>
    </row>
    <row r="6" customFormat="false" ht="30" hidden="false" customHeight="true" outlineLevel="0" collapsed="false">
      <c r="A6" s="6" t="s">
        <v>441</v>
      </c>
      <c r="B6" s="6" t="s">
        <v>829</v>
      </c>
      <c r="C6" s="6" t="s">
        <v>2132</v>
      </c>
      <c r="D6" s="6" t="s">
        <v>2133</v>
      </c>
      <c r="E6" s="6" t="s">
        <v>2134</v>
      </c>
      <c r="F6" s="6" t="s">
        <v>444</v>
      </c>
      <c r="G6" s="6" t="s">
        <v>790</v>
      </c>
      <c r="H6" s="6" t="s">
        <v>26</v>
      </c>
    </row>
    <row r="7" customFormat="false" ht="46.25" hidden="false" customHeight="false" outlineLevel="0" collapsed="false">
      <c r="A7" s="7" t="s">
        <v>2135</v>
      </c>
      <c r="B7" s="7" t="s">
        <v>859</v>
      </c>
      <c r="C7" s="7" t="n">
        <v>1</v>
      </c>
      <c r="D7" s="22" t="n">
        <v>34.3</v>
      </c>
      <c r="E7" s="22" t="n">
        <v>1</v>
      </c>
      <c r="F7" s="7" t="s">
        <v>1115</v>
      </c>
      <c r="G7" s="7" t="s">
        <v>2136</v>
      </c>
      <c r="H7" s="10"/>
    </row>
    <row r="8" customFormat="false" ht="15" hidden="false" customHeight="false" outlineLevel="0" collapsed="false">
      <c r="A8" s="7" t="s">
        <v>2137</v>
      </c>
      <c r="B8" s="7" t="s">
        <v>859</v>
      </c>
      <c r="C8" s="7" t="n">
        <v>0</v>
      </c>
      <c r="D8" s="22" t="n">
        <v>4.6</v>
      </c>
      <c r="E8" s="22" t="n">
        <v>1</v>
      </c>
      <c r="F8" s="7" t="s">
        <v>2138</v>
      </c>
      <c r="G8" s="7"/>
      <c r="H8" s="10"/>
    </row>
    <row r="9" customFormat="false" ht="15" hidden="false" customHeight="false" outlineLevel="0" collapsed="false">
      <c r="A9" s="7" t="s">
        <v>2139</v>
      </c>
      <c r="B9" s="7" t="s">
        <v>793</v>
      </c>
      <c r="C9" s="7" t="n">
        <v>0</v>
      </c>
      <c r="D9" s="22" t="n">
        <v>3</v>
      </c>
      <c r="E9" s="22" t="n">
        <v>1</v>
      </c>
      <c r="F9" s="7" t="s">
        <v>2140</v>
      </c>
      <c r="G9" s="7"/>
      <c r="H9" s="10"/>
    </row>
    <row r="10" customFormat="false" ht="15" hidden="false" customHeight="false" outlineLevel="0" collapsed="false">
      <c r="A10" s="7" t="s">
        <v>2141</v>
      </c>
      <c r="B10" s="7" t="s">
        <v>793</v>
      </c>
      <c r="C10" s="7" t="n">
        <v>0</v>
      </c>
      <c r="D10" s="22" t="n">
        <v>3</v>
      </c>
      <c r="E10" s="22" t="n">
        <v>1</v>
      </c>
      <c r="F10" s="7" t="s">
        <v>2142</v>
      </c>
      <c r="G10" s="7"/>
      <c r="H10" s="10"/>
    </row>
  </sheetData>
  <autoFilter ref="A6:H10"/>
  <mergeCells count="1">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30"/>
  </cols>
  <sheetData>
    <row r="1" customFormat="false" ht="17.35" hidden="false" customHeight="false" outlineLevel="0" collapsed="false">
      <c r="A1" s="1" t="s">
        <v>2143</v>
      </c>
    </row>
    <row r="2" customFormat="false" ht="15" hidden="false" customHeight="false" outlineLevel="0" collapsed="false">
      <c r="A2" s="2" t="s">
        <v>2144</v>
      </c>
    </row>
    <row r="4" customFormat="false" ht="15" hidden="false" customHeight="false" outlineLevel="0" collapsed="false">
      <c r="A4" s="33" t="s">
        <v>2145</v>
      </c>
      <c r="B4" s="33" t="s">
        <v>2146</v>
      </c>
    </row>
    <row r="5" customFormat="false" ht="45" hidden="false" customHeight="true" outlineLevel="0" collapsed="false">
      <c r="A5" s="34" t="s">
        <v>2147</v>
      </c>
      <c r="B5" s="35" t="s">
        <v>2148</v>
      </c>
    </row>
    <row r="6" customFormat="false" ht="45" hidden="false" customHeight="true" outlineLevel="0" collapsed="false">
      <c r="A6" s="34" t="s">
        <v>2149</v>
      </c>
      <c r="B6" s="35" t="s">
        <v>2150</v>
      </c>
    </row>
    <row r="7" customFormat="false" ht="45" hidden="false" customHeight="true" outlineLevel="0" collapsed="false">
      <c r="A7" s="34" t="s">
        <v>2151</v>
      </c>
      <c r="B7" s="35" t="s">
        <v>2152</v>
      </c>
    </row>
    <row r="8" customFormat="false" ht="45" hidden="false" customHeight="true" outlineLevel="0" collapsed="false">
      <c r="A8" s="34" t="s">
        <v>2153</v>
      </c>
      <c r="B8" s="35" t="s">
        <v>2154</v>
      </c>
    </row>
    <row r="9" customFormat="false" ht="45" hidden="false" customHeight="true" outlineLevel="0" collapsed="false">
      <c r="A9" s="34" t="s">
        <v>2155</v>
      </c>
      <c r="B9" s="35" t="s">
        <v>2156</v>
      </c>
    </row>
    <row r="10" customFormat="false" ht="45" hidden="false" customHeight="true" outlineLevel="0" collapsed="false">
      <c r="A10" s="34" t="s">
        <v>2157</v>
      </c>
      <c r="B10" s="35" t="s">
        <v>2158</v>
      </c>
    </row>
    <row r="11" customFormat="false" ht="45" hidden="false" customHeight="true" outlineLevel="0" collapsed="false">
      <c r="A11" s="34" t="s">
        <v>2159</v>
      </c>
      <c r="B11" s="35" t="s">
        <v>2160</v>
      </c>
    </row>
    <row r="12" customFormat="false" ht="45" hidden="false" customHeight="true" outlineLevel="0" collapsed="false">
      <c r="A12" s="34" t="s">
        <v>2161</v>
      </c>
      <c r="B12" s="35" t="s">
        <v>2162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2026-10-19T19:54:37Z</dcterms:created>
  <dc:creator>openpyxl</dc:creator>
  <dc:description/>
  <dc:language>en-US</dc:language>
  <cp:lastModifiedBy/>
  <dcterms:modified xsi:type="dcterms:W3CDTF">2026-10-19T19:54:38Z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