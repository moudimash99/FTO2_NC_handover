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justed" sheetId="1" state="visible" r:id="rId3"/>
    <sheet name="Standard" sheetId="2" state="visible" r:id="rId4"/>
    <sheet name="Notes" sheetId="3" state="visible" r:id="rId5"/>
    <sheet name="Data issues" sheetId="4" state="visible" r:id="rId6"/>
  </sheets>
  <definedNames>
    <definedName function="false" hidden="true" localSheetId="3" name="_xlnm._FilterDatabase" vbProcedure="false">'Data issues'!$A$4:$H$62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<sst xmlns="http://schemas.openxmlformats.org/spreadsheetml/2006/main" count="289" uniqueCount="99">
  <si>
    <t xml:space="preserve">EqMSN 2026 per product (Adjusted)</t>
  </si>
  <si>
    <t xml:space="preserve">Source: Tableau Avances / Retards export, 07/10/2026. 1 MSN = 1.0, spread evenly over calendar days from first milestone to OTA. 2025 work on MSNs shipping in 2026 is added to their 2026 months.</t>
  </si>
  <si>
    <t xml:space="preserve">Produit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</si>
  <si>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</si>
  <si>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</si>
  <si>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</si>
  <si>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</si>
  <si>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</si>
  <si>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</si>
  <si>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</si>
  <si>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</si>
  <si>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</si>
  <si>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</si>
  <si>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</si>
  <si>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</si>
  <si>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Total</t>
  </si>
  <si>
    <t xml:space="preserve">300VU</t>
  </si>
  <si>
    <t xml:space="preserve">740VU</t>
  </si>
  <si>
    <t xml:space="preserve">ISSF</t>
  </si>
  <si>
    <t xml:space="preserve">MDCD</t>
  </si>
  <si>
    <t xml:space="preserve">MFRL</t>
  </si>
  <si>
    <t xml:space="preserve">MIP</t>
  </si>
  <si>
    <t xml:space="preserve">MIP(2)</t>
  </si>
  <si>
    <t xml:space="preserve">OHP</t>
  </si>
  <si>
    <t xml:space="preserve">PTVU</t>
  </si>
  <si>
    <t xml:space="preserve">e-Rudder</t>
  </si>
  <si>
    <t xml:space="preserve">Monthly values: output of eqmsn_2026.py on the Avances/Retards export of 07/10/2026 (rounded to 2 decimals). Total row and column are formulas.</t>
  </si>
  <si>
    <t xml:space="preserve">EqMSN 2026 per product (Standard)</t>
  </si>
  <si>
    <t xml:space="preserve">Source: Tableau Avances / Retards export, 07/10/2026. 1 MSN = 1.0, spread evenly over calendar days from first milestone to OTA. Only work that falls inside 2026.</t>
  </si>
  <si>
    <t xml:space="preserve">How to read these tables</t>
  </si>
  <si>
    <t xml:space="preserve">Unit</t>
  </si>
  <si>
    <t xml:space="preserve">Each MSN counts as 1.0, spread evenly over the calendar days from its first milestone to its OTA. Data from the Avances/Retards export of 07/10/2026.</t>
  </si>
  <si>
    <t xml:space="preserve">Adjusted vs Standard</t>
  </si>
  <si>
    <t xml:space="preserve">Adjusted adds work done in 2025 on MSNs that ship in 2026 to their 2026 months. That is why January is high (86.75 Adjusted vs 36.49 Standard). Full year: 694.70 Adjusted vs 640.46 Standard. From June onward both tabs are identical.</t>
  </si>
  <si>
    <t xml:space="preserve">Forecast months</t>
  </si>
  <si>
    <t xml:space="preserve">MSNs still in progress use their planned OTA. MSNs not started yet use their planned dates. Oct–Dec are forecast, not actuals.</t>
  </si>
  <si>
    <t xml:space="preserve">Out of scope</t>
  </si>
  <si>
    <t xml:space="preserve">Work falling in 2027 is not counted in either tab.</t>
  </si>
  <si>
    <t xml:space="preserve">Data corrections</t>
  </si>
  <si>
    <t xml:space="preserve">34 obvious date typos were corrected (wrong year, etc.) or replaced by the planned date. See the 'Data issues' tab.</t>
  </si>
  <si>
    <t xml:space="preserve">To chase</t>
  </si>
  <si>
    <t xml:space="preserve">19 MSNs have a planned OTA that has already passed but no real OTA entered. Listed in 'Data issues' (Issue starts with 'no real OTA' or 'no real dates at all').</t>
  </si>
  <si>
    <t xml:space="preserve">Which tab to use</t>
  </si>
  <si>
    <t xml:space="preserve">Use Adjusted to see the whole load of MSNs shipping in 2026. Use Standard to see only the work that physically happened in 2026.</t>
  </si>
  <si>
    <t xml:space="preserve">Dates corrected, ignored or estimated by the script</t>
  </si>
  <si>
    <t xml:space="preserve">58 entries. 'Used' is the date the calculation used instead of the value in the file.</t>
  </si>
  <si>
    <t xml:space="preserve">MSN</t>
  </si>
  <si>
    <t xml:space="preserve">Rank</t>
  </si>
  <si>
    <t xml:space="preserve">Milestone</t>
  </si>
  <si>
    <t xml:space="preserve">Planned date</t>
  </si>
  <si>
    <t xml:space="preserve">Value in file</t>
  </si>
  <si>
    <t xml:space="preserve">Date used</t>
  </si>
  <si>
    <t xml:space="preserve">Issue</t>
  </si>
  <si>
    <t xml:space="preserve">Impression</t>
  </si>
  <si>
    <t xml:space="preserve">14/10/2026</t>
  </si>
  <si>
    <t xml:space="preserve">real date after export date -&gt; year corrected</t>
  </si>
  <si>
    <t xml:space="preserve">22/06/2025</t>
  </si>
  <si>
    <t xml:space="preserve">365 days from plan -&gt; year corrected</t>
  </si>
  <si>
    <t xml:space="preserve">24/06/2025</t>
  </si>
  <si>
    <t xml:space="preserve">364 days from plan -&gt; year corrected</t>
  </si>
  <si>
    <t xml:space="preserve">Enclenchement (SoA)</t>
  </si>
  <si>
    <t xml:space="preserve">16/01/2025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</si>
  <si>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</si>
  <si>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</si>
  <si>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</si>
  <si>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</si>
  <si>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SE</t>
  </si>
  <si>
    <t xml:space="preserve">30/10/2026</t>
  </si>
  <si>
    <t xml:space="preserve">INTE</t>
  </si>
  <si>
    <t xml:space="preserve">12/12/2026</t>
  </si>
  <si>
    <t xml:space="preserve">real date after export date -&gt; ignored, plan used</t>
  </si>
  <si>
    <t xml:space="preserve">TEST</t>
  </si>
  <si>
    <t xml:space="preserve">05/06/2025</t>
  </si>
  <si>
    <t xml:space="preserve">358 days from plan -&gt; year corrected</t>
  </si>
  <si>
    <t xml:space="preserve">05/02/0206</t>
  </si>
  <si>
    <t xml:space="preserve">year out of range -&gt; year corrected</t>
  </si>
  <si>
    <t xml:space="preserve">18/05/2025</t>
  </si>
  <si>
    <t xml:space="preserve">20/05/2025</t>
  </si>
  <si>
    <t xml:space="preserve">28/05/2025</t>
  </si>
  <si>
    <t xml:space="preserve">23/06/2025</t>
  </si>
  <si>
    <t xml:space="preserve">12/0/2026</t>
  </si>
  <si>
    <t xml:space="preserve">year out of range -&gt; ignored, plan used</t>
  </si>
  <si>
    <t xml:space="preserve">Départ (OTA)</t>
  </si>
  <si>
    <t xml:space="preserve">14/01/2025</t>
  </si>
  <si>
    <t xml:space="preserve">15/01/2025</t>
  </si>
  <si>
    <t xml:space="preserve">19/20/2026</t>
  </si>
  <si>
    <t xml:space="preserve">23/02/0206</t>
  </si>
  <si>
    <t xml:space="preserve">08/01/2025</t>
  </si>
  <si>
    <t xml:space="preserve">378 days from plan -&gt; year corrected</t>
  </si>
  <si>
    <t xml:space="preserve">406 days from plan -&gt; ignored, plan used</t>
  </si>
  <si>
    <t xml:space="preserve">span</t>
  </si>
  <si>
    <t xml:space="preserve">real milestone after OTA -&gt; span extended to it</t>
  </si>
  <si>
    <t xml:space="preserve">no real dates at all but planned OTA already past -&gt; planned dates used</t>
  </si>
  <si>
    <t xml:space="preserve">no real OTA but planned OTA already past -&gt; planned dates used</t>
  </si>
  <si>
    <t xml:space="preserve">block</t>
  </si>
  <si>
    <t xml:space="preserve">duplicate MSN block -&gt; second copy dropped</t>
  </si>
  <si>
    <t xml:space="preserve">(all)</t>
  </si>
  <si>
    <t xml:space="preserve">57 blocks</t>
  </si>
  <si>
    <t xml:space="preserve">no planned or real dates -&gt; excluded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</si>
</sst>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;\-0.00;\-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 t="s">
        <v>16</v>
      </c>
      <c r="B5" s="6" t="n">
        <v>0.63</v>
      </c>
      <c r="C5" s="6" t="n">
        <v>0.69</v>
      </c>
      <c r="D5" s="6" t="n">
        <v>0.97</v>
      </c>
      <c r="E5" s="6" t="n">
        <v>0.74</v>
      </c>
      <c r="F5" s="6" t="n">
        <v>0.74</v>
      </c>
      <c r="G5" s="6" t="n">
        <v>0.59</v>
      </c>
      <c r="H5" s="6" t="n">
        <v>0.94</v>
      </c>
      <c r="I5" s="6" t="n">
        <v>0.85</v>
      </c>
      <c r="J5" s="6" t="n">
        <v>1.65</v>
      </c>
      <c r="K5" s="6" t="n">
        <v>1.41</v>
      </c>
      <c r="L5" s="6" t="n">
        <v>1.12</v>
      </c>
      <c r="M5" s="6" t="n">
        <v>0.92</v>
      </c>
      <c r="N5" s="7" t="n">
        <f aca="false">SUM(B5:M5)</f>
        <v>11.25</v>
      </c>
    </row>
    <row r="6" customFormat="false" ht="15" hidden="false" customHeight="false" outlineLevel="0" collapsed="false">
      <c r="A6" s="5" t="s">
        <v>17</v>
      </c>
      <c r="B6" s="6" t="n">
        <v>7.5</v>
      </c>
      <c r="C6" s="6" t="n">
        <v>3.91</v>
      </c>
      <c r="D6" s="6" t="n">
        <v>3.63</v>
      </c>
      <c r="E6" s="6" t="n">
        <v>3.91</v>
      </c>
      <c r="F6" s="6" t="n">
        <v>3.83</v>
      </c>
      <c r="G6" s="6" t="n">
        <v>3.14</v>
      </c>
      <c r="H6" s="6" t="n">
        <v>2.41</v>
      </c>
      <c r="I6" s="6" t="n">
        <v>2.5</v>
      </c>
      <c r="J6" s="6" t="n">
        <v>3.34</v>
      </c>
      <c r="K6" s="6" t="n">
        <v>3.81</v>
      </c>
      <c r="L6" s="6" t="n">
        <v>3.67</v>
      </c>
      <c r="M6" s="6" t="n">
        <v>3.68</v>
      </c>
      <c r="N6" s="7" t="n">
        <f aca="false">SUM(B6:M6)</f>
        <v>45.33</v>
      </c>
    </row>
    <row r="7" customFormat="false" ht="15" hidden="false" customHeight="false" outlineLevel="0" collapsed="false">
      <c r="A7" s="5" t="s">
        <v>18</v>
      </c>
      <c r="B7" s="6" t="n">
        <v>0.52</v>
      </c>
      <c r="C7" s="6" t="n">
        <v>0.47</v>
      </c>
      <c r="D7" s="6" t="n">
        <v>0.02</v>
      </c>
      <c r="E7" s="6" t="n">
        <v>0.73</v>
      </c>
      <c r="F7" s="6" t="n">
        <v>0.77</v>
      </c>
      <c r="G7" s="6" t="n">
        <v>1.15</v>
      </c>
      <c r="H7" s="6" t="n">
        <v>0.94</v>
      </c>
      <c r="I7" s="6" t="n">
        <v>0.42</v>
      </c>
      <c r="J7" s="6" t="n">
        <v>2.8</v>
      </c>
      <c r="K7" s="6" t="n">
        <v>1.93</v>
      </c>
      <c r="L7" s="6" t="n">
        <v>2.27</v>
      </c>
      <c r="M7" s="6" t="n">
        <v>3.33</v>
      </c>
      <c r="N7" s="7" t="n">
        <f aca="false">SUM(B7:M7)</f>
        <v>15.35</v>
      </c>
    </row>
    <row r="8" customFormat="false" ht="15" hidden="false" customHeight="false" outlineLevel="0" collapsed="false">
      <c r="A8" s="5" t="s">
        <v>19</v>
      </c>
      <c r="B8" s="6" t="n">
        <v>3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0.39</v>
      </c>
      <c r="K8" s="6" t="n">
        <v>1.08</v>
      </c>
      <c r="L8" s="6" t="n">
        <v>0.53</v>
      </c>
      <c r="M8" s="6" t="n">
        <v>0</v>
      </c>
      <c r="N8" s="7" t="n">
        <f aca="false">SUM(B8:M8)</f>
        <v>5</v>
      </c>
    </row>
    <row r="9" customFormat="false" ht="15" hidden="false" customHeight="false" outlineLevel="0" collapsed="false">
      <c r="A9" s="5" t="s">
        <v>20</v>
      </c>
      <c r="B9" s="6" t="n">
        <v>25.74</v>
      </c>
      <c r="C9" s="6" t="n">
        <v>20.68</v>
      </c>
      <c r="D9" s="6" t="n">
        <v>31.99</v>
      </c>
      <c r="E9" s="6" t="n">
        <v>29.65</v>
      </c>
      <c r="F9" s="6" t="n">
        <v>26.88</v>
      </c>
      <c r="G9" s="6" t="n">
        <v>25.3</v>
      </c>
      <c r="H9" s="6" t="n">
        <v>22.63</v>
      </c>
      <c r="I9" s="6" t="n">
        <v>23.53</v>
      </c>
      <c r="J9" s="6" t="n">
        <v>33.09</v>
      </c>
      <c r="K9" s="6" t="n">
        <v>41.9</v>
      </c>
      <c r="L9" s="6" t="n">
        <v>39.81</v>
      </c>
      <c r="M9" s="6" t="n">
        <v>35.92</v>
      </c>
      <c r="N9" s="7" t="n">
        <f aca="false">SUM(B9:M9)</f>
        <v>357.12</v>
      </c>
    </row>
    <row r="10" customFormat="false" ht="15" hidden="false" customHeight="false" outlineLevel="0" collapsed="false">
      <c r="A10" s="5" t="s">
        <v>21</v>
      </c>
      <c r="B10" s="6" t="n">
        <v>15.01</v>
      </c>
      <c r="C10" s="6" t="n">
        <v>7.71</v>
      </c>
      <c r="D10" s="6" t="n">
        <v>7.27</v>
      </c>
      <c r="E10" s="6" t="n">
        <v>6.45</v>
      </c>
      <c r="F10" s="6" t="n">
        <v>6.19</v>
      </c>
      <c r="G10" s="6" t="n">
        <v>5.39</v>
      </c>
      <c r="H10" s="6" t="n">
        <v>5.28</v>
      </c>
      <c r="I10" s="6" t="n">
        <v>5.3</v>
      </c>
      <c r="J10" s="6" t="n">
        <v>6.2</v>
      </c>
      <c r="K10" s="6" t="n">
        <v>7.59</v>
      </c>
      <c r="L10" s="6" t="n">
        <v>7.8</v>
      </c>
      <c r="M10" s="6" t="n">
        <v>8.12</v>
      </c>
      <c r="N10" s="7" t="n">
        <f aca="false">SUM(B10:M10)</f>
        <v>88.31</v>
      </c>
    </row>
    <row r="11" customFormat="false" ht="15" hidden="false" customHeight="false" outlineLevel="0" collapsed="false">
      <c r="A11" s="5" t="s">
        <v>22</v>
      </c>
      <c r="B11" s="6" t="n">
        <v>3.37</v>
      </c>
      <c r="C11" s="6" t="n">
        <v>1.01</v>
      </c>
      <c r="D11" s="6" t="n">
        <v>0.81</v>
      </c>
      <c r="E11" s="6" t="n">
        <v>0.62</v>
      </c>
      <c r="F11" s="6" t="n">
        <v>0.79</v>
      </c>
      <c r="G11" s="6" t="n">
        <v>0.68</v>
      </c>
      <c r="H11" s="6" t="n">
        <v>0.64</v>
      </c>
      <c r="I11" s="6" t="n">
        <v>0.69</v>
      </c>
      <c r="J11" s="6" t="n">
        <v>0.51</v>
      </c>
      <c r="K11" s="6" t="n">
        <v>0.64</v>
      </c>
      <c r="L11" s="6" t="n">
        <v>0.67</v>
      </c>
      <c r="M11" s="6" t="n">
        <v>0.72</v>
      </c>
      <c r="N11" s="7" t="n">
        <f aca="false">SUM(B11:M11)</f>
        <v>11.15</v>
      </c>
    </row>
    <row r="12" customFormat="false" ht="15" hidden="false" customHeight="false" outlineLevel="0" collapsed="false">
      <c r="A12" s="5" t="s">
        <v>23</v>
      </c>
      <c r="B12" s="6" t="n">
        <v>2.33</v>
      </c>
      <c r="C12" s="6" t="n">
        <v>0.59</v>
      </c>
      <c r="D12" s="6" t="n">
        <v>0.69</v>
      </c>
      <c r="E12" s="6" t="n">
        <v>0.8</v>
      </c>
      <c r="F12" s="6" t="n">
        <v>0.65</v>
      </c>
      <c r="G12" s="6" t="n">
        <v>0.51</v>
      </c>
      <c r="H12" s="6" t="n">
        <v>0.63</v>
      </c>
      <c r="I12" s="6" t="n">
        <v>0.51</v>
      </c>
      <c r="J12" s="6" t="n">
        <v>0.7</v>
      </c>
      <c r="K12" s="6" t="n">
        <v>0.82</v>
      </c>
      <c r="L12" s="6" t="n">
        <v>0.62</v>
      </c>
      <c r="M12" s="6" t="n">
        <v>0.68</v>
      </c>
      <c r="N12" s="7" t="n">
        <f aca="false">SUM(B12:M12)</f>
        <v>9.53</v>
      </c>
    </row>
    <row r="13" customFormat="false" ht="15" hidden="false" customHeight="false" outlineLevel="0" collapsed="false">
      <c r="A13" s="5" t="s">
        <v>24</v>
      </c>
      <c r="B13" s="6" t="n">
        <v>15.03</v>
      </c>
      <c r="C13" s="6" t="n">
        <v>3.32</v>
      </c>
      <c r="D13" s="6" t="n">
        <v>3.76</v>
      </c>
      <c r="E13" s="6" t="n">
        <v>3.3</v>
      </c>
      <c r="F13" s="6" t="n">
        <v>4.11</v>
      </c>
      <c r="G13" s="6" t="n">
        <v>3.06</v>
      </c>
      <c r="H13" s="6" t="n">
        <v>2.75</v>
      </c>
      <c r="I13" s="6" t="n">
        <v>2.7</v>
      </c>
      <c r="J13" s="6" t="n">
        <v>3.19</v>
      </c>
      <c r="K13" s="6" t="n">
        <v>3.67</v>
      </c>
      <c r="L13" s="6" t="n">
        <v>3.72</v>
      </c>
      <c r="M13" s="6" t="n">
        <v>3.73</v>
      </c>
      <c r="N13" s="7" t="n">
        <f aca="false">SUM(B13:M13)</f>
        <v>52.34</v>
      </c>
    </row>
    <row r="14" customFormat="false" ht="15" hidden="false" customHeight="false" outlineLevel="0" collapsed="false">
      <c r="A14" s="5" t="s">
        <v>25</v>
      </c>
      <c r="B14" s="6" t="n">
        <v>13.62</v>
      </c>
      <c r="C14" s="6" t="n">
        <v>6.16</v>
      </c>
      <c r="D14" s="6" t="n">
        <v>7.58</v>
      </c>
      <c r="E14" s="6" t="n">
        <v>6.52</v>
      </c>
      <c r="F14" s="6" t="n">
        <v>6.08</v>
      </c>
      <c r="G14" s="6" t="n">
        <v>7.95</v>
      </c>
      <c r="H14" s="6" t="n">
        <v>9</v>
      </c>
      <c r="I14" s="6" t="n">
        <v>8.1</v>
      </c>
      <c r="J14" s="6" t="n">
        <v>8.21</v>
      </c>
      <c r="K14" s="6" t="n">
        <v>8.54</v>
      </c>
      <c r="L14" s="6" t="n">
        <v>7.51</v>
      </c>
      <c r="M14" s="6" t="n">
        <v>10.05</v>
      </c>
      <c r="N14" s="7" t="n">
        <f aca="false">SUM(B14:M14)</f>
        <v>99.32</v>
      </c>
    </row>
    <row r="15" customFormat="false" ht="15" hidden="false" customHeight="false" outlineLevel="0" collapsed="false">
      <c r="A15" s="8" t="s">
        <v>15</v>
      </c>
      <c r="B15" s="9" t="n">
        <f aca="false">SUM(B5:B14)</f>
        <v>86.75</v>
      </c>
      <c r="C15" s="9" t="n">
        <f aca="false">SUM(C5:C14)</f>
        <v>44.54</v>
      </c>
      <c r="D15" s="9" t="n">
        <f aca="false">SUM(D5:D14)</f>
        <v>56.72</v>
      </c>
      <c r="E15" s="9" t="n">
        <f aca="false">SUM(E5:E14)</f>
        <v>52.72</v>
      </c>
      <c r="F15" s="9" t="n">
        <f aca="false">SUM(F5:F14)</f>
        <v>50.04</v>
      </c>
      <c r="G15" s="9" t="n">
        <f aca="false">SUM(G5:G14)</f>
        <v>47.77</v>
      </c>
      <c r="H15" s="9" t="n">
        <f aca="false">SUM(H5:H14)</f>
        <v>45.22</v>
      </c>
      <c r="I15" s="9" t="n">
        <f aca="false">SUM(I5:I14)</f>
        <v>44.6</v>
      </c>
      <c r="J15" s="9" t="n">
        <f aca="false">SUM(J5:J14)</f>
        <v>60.08</v>
      </c>
      <c r="K15" s="9" t="n">
        <f aca="false">SUM(K5:K14)</f>
        <v>71.39</v>
      </c>
      <c r="L15" s="9" t="n">
        <f aca="false">SUM(L5:L14)</f>
        <v>67.72</v>
      </c>
      <c r="M15" s="9" t="n">
        <f aca="false">SUM(M5:M14)</f>
        <v>67.15</v>
      </c>
      <c r="N15" s="9" t="n">
        <f aca="false">SUM(N5:N14)</f>
        <v>694.7</v>
      </c>
    </row>
    <row r="17" customFormat="false" ht="15" hidden="false" customHeight="false" outlineLevel="0" collapsed="false">
      <c r="A1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 t="s">
        <v>16</v>
      </c>
      <c r="B5" s="6" t="n">
        <v>0.44</v>
      </c>
      <c r="C5" s="6" t="n">
        <v>0.52</v>
      </c>
      <c r="D5" s="6" t="n">
        <v>0.78</v>
      </c>
      <c r="E5" s="6" t="n">
        <v>0.69</v>
      </c>
      <c r="F5" s="6" t="n">
        <v>0.72</v>
      </c>
      <c r="G5" s="6" t="n">
        <v>0.59</v>
      </c>
      <c r="H5" s="6" t="n">
        <v>0.94</v>
      </c>
      <c r="I5" s="6" t="n">
        <v>0.85</v>
      </c>
      <c r="J5" s="6" t="n">
        <v>1.65</v>
      </c>
      <c r="K5" s="6" t="n">
        <v>1.41</v>
      </c>
      <c r="L5" s="6" t="n">
        <v>1.12</v>
      </c>
      <c r="M5" s="6" t="n">
        <v>0.92</v>
      </c>
      <c r="N5" s="7" t="n">
        <f aca="false">SUM(B5:M5)</f>
        <v>10.63</v>
      </c>
    </row>
    <row r="6" customFormat="false" ht="15" hidden="false" customHeight="false" outlineLevel="0" collapsed="false">
      <c r="A6" s="5" t="s">
        <v>17</v>
      </c>
      <c r="B6" s="6" t="n">
        <v>2.97</v>
      </c>
      <c r="C6" s="6" t="n">
        <v>3.17</v>
      </c>
      <c r="D6" s="6" t="n">
        <v>3.57</v>
      </c>
      <c r="E6" s="6" t="n">
        <v>3.91</v>
      </c>
      <c r="F6" s="6" t="n">
        <v>3.83</v>
      </c>
      <c r="G6" s="6" t="n">
        <v>3.14</v>
      </c>
      <c r="H6" s="6" t="n">
        <v>2.41</v>
      </c>
      <c r="I6" s="6" t="n">
        <v>2.5</v>
      </c>
      <c r="J6" s="6" t="n">
        <v>3.34</v>
      </c>
      <c r="K6" s="6" t="n">
        <v>3.81</v>
      </c>
      <c r="L6" s="6" t="n">
        <v>3.67</v>
      </c>
      <c r="M6" s="6" t="n">
        <v>3.68</v>
      </c>
      <c r="N6" s="7" t="n">
        <f aca="false">SUM(B6:M6)</f>
        <v>40</v>
      </c>
    </row>
    <row r="7" customFormat="false" ht="15" hidden="false" customHeight="false" outlineLevel="0" collapsed="false">
      <c r="A7" s="5" t="s">
        <v>18</v>
      </c>
      <c r="B7" s="6" t="n">
        <v>0.39</v>
      </c>
      <c r="C7" s="6" t="n">
        <v>0.35</v>
      </c>
      <c r="D7" s="6" t="n">
        <v>0.01</v>
      </c>
      <c r="E7" s="6" t="n">
        <v>0.73</v>
      </c>
      <c r="F7" s="6" t="n">
        <v>0.77</v>
      </c>
      <c r="G7" s="6" t="n">
        <v>1.15</v>
      </c>
      <c r="H7" s="6" t="n">
        <v>0.94</v>
      </c>
      <c r="I7" s="6" t="n">
        <v>0.42</v>
      </c>
      <c r="J7" s="6" t="n">
        <v>2.8</v>
      </c>
      <c r="K7" s="6" t="n">
        <v>1.93</v>
      </c>
      <c r="L7" s="6" t="n">
        <v>2.27</v>
      </c>
      <c r="M7" s="6" t="n">
        <v>3.33</v>
      </c>
      <c r="N7" s="7" t="n">
        <f aca="false">SUM(B7:M7)</f>
        <v>15.09</v>
      </c>
    </row>
    <row r="8" customFormat="false" ht="15" hidden="false" customHeight="false" outlineLevel="0" collapsed="false">
      <c r="A8" s="5" t="s">
        <v>19</v>
      </c>
      <c r="B8" s="6" t="n">
        <v>0.5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0.39</v>
      </c>
      <c r="K8" s="6" t="n">
        <v>1.08</v>
      </c>
      <c r="L8" s="6" t="n">
        <v>0.53</v>
      </c>
      <c r="M8" s="6" t="n">
        <v>0</v>
      </c>
      <c r="N8" s="7" t="n">
        <f aca="false">SUM(B8:M8)</f>
        <v>2.5</v>
      </c>
    </row>
    <row r="9" customFormat="false" ht="15" hidden="false" customHeight="false" outlineLevel="0" collapsed="false">
      <c r="A9" s="5" t="s">
        <v>20</v>
      </c>
      <c r="B9" s="6" t="n">
        <v>15.35</v>
      </c>
      <c r="C9" s="6" t="n">
        <v>20.68</v>
      </c>
      <c r="D9" s="6" t="n">
        <v>31.99</v>
      </c>
      <c r="E9" s="6" t="n">
        <v>29.65</v>
      </c>
      <c r="F9" s="6" t="n">
        <v>26.88</v>
      </c>
      <c r="G9" s="6" t="n">
        <v>25.3</v>
      </c>
      <c r="H9" s="6" t="n">
        <v>22.63</v>
      </c>
      <c r="I9" s="6" t="n">
        <v>23.53</v>
      </c>
      <c r="J9" s="6" t="n">
        <v>33.09</v>
      </c>
      <c r="K9" s="6" t="n">
        <v>41.9</v>
      </c>
      <c r="L9" s="6" t="n">
        <v>39.81</v>
      </c>
      <c r="M9" s="6" t="n">
        <v>35.92</v>
      </c>
      <c r="N9" s="7" t="n">
        <f aca="false">SUM(B9:M9)</f>
        <v>346.73</v>
      </c>
    </row>
    <row r="10" customFormat="false" ht="15" hidden="false" customHeight="false" outlineLevel="0" collapsed="false">
      <c r="A10" s="5" t="s">
        <v>21</v>
      </c>
      <c r="B10" s="6" t="n">
        <v>6.86</v>
      </c>
      <c r="C10" s="6" t="n">
        <v>6.48</v>
      </c>
      <c r="D10" s="6" t="n">
        <v>7.15</v>
      </c>
      <c r="E10" s="6" t="n">
        <v>6.45</v>
      </c>
      <c r="F10" s="6" t="n">
        <v>6.19</v>
      </c>
      <c r="G10" s="6" t="n">
        <v>5.39</v>
      </c>
      <c r="H10" s="6" t="n">
        <v>5.28</v>
      </c>
      <c r="I10" s="6" t="n">
        <v>5.3</v>
      </c>
      <c r="J10" s="6" t="n">
        <v>6.2</v>
      </c>
      <c r="K10" s="6" t="n">
        <v>7.59</v>
      </c>
      <c r="L10" s="6" t="n">
        <v>7.8</v>
      </c>
      <c r="M10" s="6" t="n">
        <v>8.12</v>
      </c>
      <c r="N10" s="7" t="n">
        <f aca="false">SUM(B10:M10)</f>
        <v>78.81</v>
      </c>
    </row>
    <row r="11" customFormat="false" ht="15" hidden="false" customHeight="false" outlineLevel="0" collapsed="false">
      <c r="A11" s="5" t="s">
        <v>22</v>
      </c>
      <c r="B11" s="6" t="n">
        <v>0.66</v>
      </c>
      <c r="C11" s="6" t="n">
        <v>0.61</v>
      </c>
      <c r="D11" s="6" t="n">
        <v>0.63</v>
      </c>
      <c r="E11" s="6" t="n">
        <v>0.57</v>
      </c>
      <c r="F11" s="6" t="n">
        <v>0.77</v>
      </c>
      <c r="G11" s="6" t="n">
        <v>0.68</v>
      </c>
      <c r="H11" s="6" t="n">
        <v>0.64</v>
      </c>
      <c r="I11" s="6" t="n">
        <v>0.69</v>
      </c>
      <c r="J11" s="6" t="n">
        <v>0.51</v>
      </c>
      <c r="K11" s="6" t="n">
        <v>0.64</v>
      </c>
      <c r="L11" s="6" t="n">
        <v>0.67</v>
      </c>
      <c r="M11" s="6" t="n">
        <v>0.72</v>
      </c>
      <c r="N11" s="7" t="n">
        <f aca="false">SUM(B11:M11)</f>
        <v>7.79</v>
      </c>
    </row>
    <row r="12" customFormat="false" ht="15" hidden="false" customHeight="false" outlineLevel="0" collapsed="false">
      <c r="A12" s="5" t="s">
        <v>23</v>
      </c>
      <c r="B12" s="6" t="n">
        <v>0.73</v>
      </c>
      <c r="C12" s="6" t="n">
        <v>0.59</v>
      </c>
      <c r="D12" s="6" t="n">
        <v>0.69</v>
      </c>
      <c r="E12" s="6" t="n">
        <v>0.8</v>
      </c>
      <c r="F12" s="6" t="n">
        <v>0.65</v>
      </c>
      <c r="G12" s="6" t="n">
        <v>0.51</v>
      </c>
      <c r="H12" s="6" t="n">
        <v>0.63</v>
      </c>
      <c r="I12" s="6" t="n">
        <v>0.51</v>
      </c>
      <c r="J12" s="6" t="n">
        <v>0.7</v>
      </c>
      <c r="K12" s="6" t="n">
        <v>0.82</v>
      </c>
      <c r="L12" s="6" t="n">
        <v>0.62</v>
      </c>
      <c r="M12" s="6" t="n">
        <v>0.68</v>
      </c>
      <c r="N12" s="7" t="n">
        <f aca="false">SUM(B12:M12)</f>
        <v>7.93</v>
      </c>
    </row>
    <row r="13" customFormat="false" ht="15" hidden="false" customHeight="false" outlineLevel="0" collapsed="false">
      <c r="A13" s="5" t="s">
        <v>24</v>
      </c>
      <c r="B13" s="6" t="n">
        <v>2.52</v>
      </c>
      <c r="C13" s="6" t="n">
        <v>3.02</v>
      </c>
      <c r="D13" s="6" t="n">
        <v>3.76</v>
      </c>
      <c r="E13" s="6" t="n">
        <v>3.3</v>
      </c>
      <c r="F13" s="6" t="n">
        <v>4.11</v>
      </c>
      <c r="G13" s="6" t="n">
        <v>3.06</v>
      </c>
      <c r="H13" s="6" t="n">
        <v>2.75</v>
      </c>
      <c r="I13" s="6" t="n">
        <v>2.7</v>
      </c>
      <c r="J13" s="6" t="n">
        <v>3.19</v>
      </c>
      <c r="K13" s="6" t="n">
        <v>3.67</v>
      </c>
      <c r="L13" s="6" t="n">
        <v>3.72</v>
      </c>
      <c r="M13" s="6" t="n">
        <v>3.73</v>
      </c>
      <c r="N13" s="7" t="n">
        <f aca="false">SUM(B13:M13)</f>
        <v>39.53</v>
      </c>
    </row>
    <row r="14" customFormat="false" ht="15" hidden="false" customHeight="false" outlineLevel="0" collapsed="false">
      <c r="A14" s="5" t="s">
        <v>25</v>
      </c>
      <c r="B14" s="6" t="n">
        <v>6.07</v>
      </c>
      <c r="C14" s="6" t="n">
        <v>5.84</v>
      </c>
      <c r="D14" s="6" t="n">
        <v>7.58</v>
      </c>
      <c r="E14" s="6" t="n">
        <v>6.52</v>
      </c>
      <c r="F14" s="6" t="n">
        <v>6.08</v>
      </c>
      <c r="G14" s="6" t="n">
        <v>7.95</v>
      </c>
      <c r="H14" s="6" t="n">
        <v>9</v>
      </c>
      <c r="I14" s="6" t="n">
        <v>8.1</v>
      </c>
      <c r="J14" s="6" t="n">
        <v>8.21</v>
      </c>
      <c r="K14" s="6" t="n">
        <v>8.54</v>
      </c>
      <c r="L14" s="6" t="n">
        <v>7.51</v>
      </c>
      <c r="M14" s="6" t="n">
        <v>10.05</v>
      </c>
      <c r="N14" s="7" t="n">
        <f aca="false">SUM(B14:M14)</f>
        <v>91.45</v>
      </c>
    </row>
    <row r="15" customFormat="false" ht="15" hidden="false" customHeight="false" outlineLevel="0" collapsed="false">
      <c r="A15" s="8" t="s">
        <v>15</v>
      </c>
      <c r="B15" s="9" t="n">
        <f aca="false">SUM(B5:B14)</f>
        <v>36.49</v>
      </c>
      <c r="C15" s="9" t="n">
        <f aca="false">SUM(C5:C14)</f>
        <v>41.26</v>
      </c>
      <c r="D15" s="9" t="n">
        <f aca="false">SUM(D5:D14)</f>
        <v>56.16</v>
      </c>
      <c r="E15" s="9" t="n">
        <f aca="false">SUM(E5:E14)</f>
        <v>52.62</v>
      </c>
      <c r="F15" s="9" t="n">
        <f aca="false">SUM(F5:F14)</f>
        <v>50</v>
      </c>
      <c r="G15" s="9" t="n">
        <f aca="false">SUM(G5:G14)</f>
        <v>47.77</v>
      </c>
      <c r="H15" s="9" t="n">
        <f aca="false">SUM(H5:H14)</f>
        <v>45.22</v>
      </c>
      <c r="I15" s="9" t="n">
        <f aca="false">SUM(I5:I14)</f>
        <v>44.6</v>
      </c>
      <c r="J15" s="9" t="n">
        <f aca="false">SUM(J5:J14)</f>
        <v>60.08</v>
      </c>
      <c r="K15" s="9" t="n">
        <f aca="false">SUM(K5:K14)</f>
        <v>71.39</v>
      </c>
      <c r="L15" s="9" t="n">
        <f aca="false">SUM(L5:L14)</f>
        <v>67.72</v>
      </c>
      <c r="M15" s="9" t="n">
        <f aca="false">SUM(M5:M14)</f>
        <v>67.15</v>
      </c>
      <c r="N15" s="9" t="n">
        <f aca="false">SUM(N5:N14)</f>
        <v>640.46</v>
      </c>
    </row>
    <row r="17" customFormat="false" ht="15" hidden="false" customHeight="false" outlineLevel="0" collapsed="false">
      <c r="A1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29</v>
      </c>
    </row>
    <row r="3" customFormat="false" ht="23.85" hidden="false" customHeight="false" outlineLevel="0" collapsed="false">
      <c r="A3" s="10" t="s">
        <v>30</v>
      </c>
      <c r="B3" s="11" t="s">
        <v>31</v>
      </c>
    </row>
    <row r="4" customFormat="false" ht="23.85" hidden="false" customHeight="false" outlineLevel="0" collapsed="false">
      <c r="A4" s="10" t="s">
        <v>32</v>
      </c>
      <c r="B4" s="11" t="s">
        <v>33</v>
      </c>
    </row>
    <row r="5" customFormat="false" ht="23.85" hidden="false" customHeight="false" outlineLevel="0" collapsed="false">
      <c r="A5" s="10" t="s">
        <v>34</v>
      </c>
      <c r="B5" s="11" t="s">
        <v>35</v>
      </c>
    </row>
    <row r="6" customFormat="false" ht="15" hidden="false" customHeight="false" outlineLevel="0" collapsed="false">
      <c r="A6" s="10" t="s">
        <v>36</v>
      </c>
      <c r="B6" s="11" t="s">
        <v>37</v>
      </c>
    </row>
    <row r="7" customFormat="false" ht="15" hidden="false" customHeight="false" outlineLevel="0" collapsed="false">
      <c r="A7" s="10" t="s">
        <v>38</v>
      </c>
      <c r="B7" s="11" t="s">
        <v>39</v>
      </c>
    </row>
    <row r="8" customFormat="false" ht="23.85" hidden="false" customHeight="false" outlineLevel="0" collapsed="false">
      <c r="A8" s="10" t="s">
        <v>40</v>
      </c>
      <c r="B8" s="11" t="s">
        <v>41</v>
      </c>
    </row>
    <row r="9" customFormat="false" ht="23.85" hidden="false" customHeight="false" outlineLevel="0" collapsed="false">
      <c r="A9" s="10" t="s">
        <v>42</v>
      </c>
      <c r="B9" s="1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70"/>
  </cols>
  <sheetData>
    <row r="1" customFormat="false" ht="16.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12" t="s">
        <v>2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</row>
    <row r="5" customFormat="false" ht="15" hidden="false" customHeight="false" outlineLevel="0" collapsed="false">
      <c r="A5" s="5" t="s">
        <v>21</v>
      </c>
      <c r="B5" s="5" t="n">
        <v>809</v>
      </c>
      <c r="C5" s="5" t="n">
        <v>767</v>
      </c>
      <c r="D5" s="5" t="s">
        <v>53</v>
      </c>
      <c r="E5" s="13" t="n">
        <v>45944</v>
      </c>
      <c r="F5" s="5" t="s">
        <v>54</v>
      </c>
      <c r="G5" s="13" t="n">
        <v>45944</v>
      </c>
      <c r="H5" s="5" t="s">
        <v>55</v>
      </c>
    </row>
    <row r="6" customFormat="false" ht="15" hidden="false" customHeight="false" outlineLevel="0" collapsed="false">
      <c r="A6" s="5" t="s">
        <v>20</v>
      </c>
      <c r="B6" s="5" t="n">
        <v>13588</v>
      </c>
      <c r="C6" s="5" t="n">
        <v>359</v>
      </c>
      <c r="D6" s="5" t="s">
        <v>53</v>
      </c>
      <c r="E6" s="13" t="n">
        <v>46195</v>
      </c>
      <c r="F6" s="5" t="s">
        <v>56</v>
      </c>
      <c r="G6" s="13" t="n">
        <v>46195</v>
      </c>
      <c r="H6" s="5" t="s">
        <v>57</v>
      </c>
    </row>
    <row r="7" customFormat="false" ht="15" hidden="false" customHeight="false" outlineLevel="0" collapsed="false">
      <c r="A7" s="5" t="s">
        <v>20</v>
      </c>
      <c r="B7" s="5" t="n">
        <v>13789</v>
      </c>
      <c r="C7" s="5" t="n">
        <v>360</v>
      </c>
      <c r="D7" s="5" t="s">
        <v>53</v>
      </c>
      <c r="E7" s="13" t="n">
        <v>46195</v>
      </c>
      <c r="F7" s="5" t="s">
        <v>56</v>
      </c>
      <c r="G7" s="13" t="n">
        <v>46195</v>
      </c>
      <c r="H7" s="5" t="s">
        <v>57</v>
      </c>
    </row>
    <row r="8" customFormat="false" ht="15" hidden="false" customHeight="false" outlineLevel="0" collapsed="false">
      <c r="A8" s="5" t="s">
        <v>20</v>
      </c>
      <c r="B8" s="5" t="n">
        <v>13719</v>
      </c>
      <c r="C8" s="5" t="n">
        <v>361</v>
      </c>
      <c r="D8" s="5" t="s">
        <v>53</v>
      </c>
      <c r="E8" s="13" t="n">
        <v>46196</v>
      </c>
      <c r="F8" s="5" t="s">
        <v>58</v>
      </c>
      <c r="G8" s="13" t="n">
        <v>46197</v>
      </c>
      <c r="H8" s="5" t="s">
        <v>59</v>
      </c>
    </row>
    <row r="9" customFormat="false" ht="15" hidden="false" customHeight="false" outlineLevel="0" collapsed="false">
      <c r="A9" s="5" t="s">
        <v>20</v>
      </c>
      <c r="B9" s="5" t="n">
        <v>13773</v>
      </c>
      <c r="C9" s="5" t="n">
        <v>362</v>
      </c>
      <c r="D9" s="5" t="s">
        <v>53</v>
      </c>
      <c r="E9" s="13" t="n">
        <v>46196</v>
      </c>
      <c r="F9" s="5" t="s">
        <v>58</v>
      </c>
      <c r="G9" s="13" t="n">
        <v>46197</v>
      </c>
      <c r="H9" s="5" t="s">
        <v>59</v>
      </c>
    </row>
    <row r="10" customFormat="false" ht="15" hidden="false" customHeight="false" outlineLevel="0" collapsed="false">
      <c r="A10" s="5" t="s">
        <v>20</v>
      </c>
      <c r="B10" s="5" t="n">
        <v>13372</v>
      </c>
      <c r="C10" s="5" t="n">
        <v>200</v>
      </c>
      <c r="D10" s="5" t="s">
        <v>60</v>
      </c>
      <c r="E10" s="13" t="n">
        <v>46038</v>
      </c>
      <c r="F10" s="5" t="s">
        <v>61</v>
      </c>
      <c r="G10" s="13" t="n">
        <v>46038</v>
      </c>
      <c r="H10" s="5" t="s">
        <v>57</v>
      </c>
    </row>
    <row r="11" customFormat="false" ht="15" hidden="false" customHeight="false" outlineLevel="0" collapsed="false">
      <c r="A11" s="5" t="s">
        <v>20</v>
      </c>
      <c r="B11" s="5" t="n">
        <v>13445</v>
      </c>
      <c r="C11" s="5" t="n">
        <v>201</v>
      </c>
      <c r="D11" s="5" t="s">
        <v>60</v>
      </c>
      <c r="E11" s="13" t="n">
        <v>46041</v>
      </c>
      <c r="F11" s="5" t="s">
        <v>62</v>
      </c>
      <c r="G11" s="13" t="n">
        <v>46041</v>
      </c>
      <c r="H11" s="5" t="s">
        <v>57</v>
      </c>
    </row>
    <row r="12" customFormat="false" ht="15" hidden="false" customHeight="false" outlineLevel="0" collapsed="false">
      <c r="A12" s="5" t="s">
        <v>20</v>
      </c>
      <c r="B12" s="5" t="n">
        <v>13388</v>
      </c>
      <c r="C12" s="5" t="n">
        <v>202</v>
      </c>
      <c r="D12" s="5" t="s">
        <v>60</v>
      </c>
      <c r="E12" s="13" t="n">
        <v>46042</v>
      </c>
      <c r="F12" s="5" t="s">
        <v>63</v>
      </c>
      <c r="G12" s="13" t="n">
        <v>46042</v>
      </c>
      <c r="H12" s="5" t="s">
        <v>57</v>
      </c>
    </row>
    <row r="13" customFormat="false" ht="15" hidden="false" customHeight="false" outlineLevel="0" collapsed="false">
      <c r="A13" s="5" t="s">
        <v>20</v>
      </c>
      <c r="B13" s="5" t="n">
        <v>13399</v>
      </c>
      <c r="C13" s="5" t="n">
        <v>203</v>
      </c>
      <c r="D13" s="5" t="s">
        <v>60</v>
      </c>
      <c r="E13" s="13" t="n">
        <v>46043</v>
      </c>
      <c r="F13" s="5" t="s">
        <v>64</v>
      </c>
      <c r="G13" s="13" t="n">
        <v>46043</v>
      </c>
      <c r="H13" s="5" t="s">
        <v>57</v>
      </c>
    </row>
    <row r="14" customFormat="false" ht="15" hidden="false" customHeight="false" outlineLevel="0" collapsed="false">
      <c r="A14" s="5" t="s">
        <v>20</v>
      </c>
      <c r="B14" s="5" t="n">
        <v>13492</v>
      </c>
      <c r="C14" s="5" t="n">
        <v>204</v>
      </c>
      <c r="D14" s="5" t="s">
        <v>60</v>
      </c>
      <c r="E14" s="13" t="n">
        <v>46044</v>
      </c>
      <c r="F14" s="5" t="s">
        <v>65</v>
      </c>
      <c r="G14" s="13" t="n">
        <v>46044</v>
      </c>
      <c r="H14" s="5" t="s">
        <v>57</v>
      </c>
    </row>
    <row r="15" customFormat="false" ht="15" hidden="false" customHeight="false" outlineLevel="0" collapsed="false">
      <c r="A15" s="5" t="s">
        <v>21</v>
      </c>
      <c r="B15" s="5" t="n">
        <v>809</v>
      </c>
      <c r="C15" s="5" t="n">
        <v>767</v>
      </c>
      <c r="D15" s="5" t="s">
        <v>66</v>
      </c>
      <c r="E15" s="13" t="n">
        <v>45960</v>
      </c>
      <c r="F15" s="5" t="s">
        <v>67</v>
      </c>
      <c r="G15" s="13" t="n">
        <v>45960</v>
      </c>
      <c r="H15" s="5" t="s">
        <v>55</v>
      </c>
    </row>
    <row r="16" customFormat="false" ht="15" hidden="false" customHeight="false" outlineLevel="0" collapsed="false">
      <c r="A16" s="5" t="s">
        <v>21</v>
      </c>
      <c r="B16" s="5" t="n">
        <v>825</v>
      </c>
      <c r="C16" s="5" t="n">
        <v>781</v>
      </c>
      <c r="D16" s="5" t="s">
        <v>68</v>
      </c>
      <c r="E16" s="13" t="n">
        <v>46056</v>
      </c>
      <c r="F16" s="5" t="s">
        <v>69</v>
      </c>
      <c r="G16" s="5"/>
      <c r="H16" s="5" t="s">
        <v>70</v>
      </c>
    </row>
    <row r="17" customFormat="false" ht="15" hidden="false" customHeight="false" outlineLevel="0" collapsed="false">
      <c r="A17" s="5" t="s">
        <v>21</v>
      </c>
      <c r="B17" s="5" t="n">
        <v>827</v>
      </c>
      <c r="C17" s="5" t="n">
        <v>782</v>
      </c>
      <c r="D17" s="5" t="s">
        <v>68</v>
      </c>
      <c r="E17" s="13" t="n">
        <v>46063</v>
      </c>
      <c r="F17" s="5" t="s">
        <v>69</v>
      </c>
      <c r="G17" s="5"/>
      <c r="H17" s="5" t="s">
        <v>70</v>
      </c>
    </row>
    <row r="18" customFormat="false" ht="15" hidden="false" customHeight="false" outlineLevel="0" collapsed="false">
      <c r="A18" s="5" t="s">
        <v>24</v>
      </c>
      <c r="B18" s="5" t="n">
        <v>2161</v>
      </c>
      <c r="C18" s="5" t="n">
        <v>2095</v>
      </c>
      <c r="D18" s="5" t="s">
        <v>71</v>
      </c>
      <c r="E18" s="13" t="n">
        <v>46171</v>
      </c>
      <c r="F18" s="5" t="s">
        <v>72</v>
      </c>
      <c r="G18" s="13" t="n">
        <v>46178</v>
      </c>
      <c r="H18" s="5" t="s">
        <v>73</v>
      </c>
    </row>
    <row r="19" customFormat="false" ht="15" hidden="false" customHeight="false" outlineLevel="0" collapsed="false">
      <c r="A19" s="5" t="s">
        <v>17</v>
      </c>
      <c r="B19" s="5" t="n">
        <v>2146</v>
      </c>
      <c r="C19" s="5" t="n">
        <v>2082</v>
      </c>
      <c r="D19" s="5" t="s">
        <v>71</v>
      </c>
      <c r="E19" s="13" t="n">
        <v>46058</v>
      </c>
      <c r="F19" s="5" t="s">
        <v>74</v>
      </c>
      <c r="G19" s="13" t="n">
        <v>46058</v>
      </c>
      <c r="H19" s="5" t="s">
        <v>75</v>
      </c>
    </row>
    <row r="20" customFormat="false" ht="15" hidden="false" customHeight="false" outlineLevel="0" collapsed="false">
      <c r="A20" s="5" t="s">
        <v>20</v>
      </c>
      <c r="B20" s="5" t="n">
        <v>12934</v>
      </c>
      <c r="C20" s="5" t="n">
        <v>310</v>
      </c>
      <c r="D20" s="5" t="s">
        <v>71</v>
      </c>
      <c r="E20" s="13" t="n">
        <v>46160</v>
      </c>
      <c r="F20" s="5" t="s">
        <v>76</v>
      </c>
      <c r="G20" s="13" t="n">
        <v>46160</v>
      </c>
      <c r="H20" s="5" t="s">
        <v>57</v>
      </c>
    </row>
    <row r="21" customFormat="false" ht="15" hidden="false" customHeight="false" outlineLevel="0" collapsed="false">
      <c r="A21" s="5" t="s">
        <v>20</v>
      </c>
      <c r="B21" s="5" t="n">
        <v>13735</v>
      </c>
      <c r="C21" s="5" t="n">
        <v>314</v>
      </c>
      <c r="D21" s="5" t="s">
        <v>71</v>
      </c>
      <c r="E21" s="13" t="n">
        <v>46162</v>
      </c>
      <c r="F21" s="5" t="s">
        <v>77</v>
      </c>
      <c r="G21" s="13" t="n">
        <v>46162</v>
      </c>
      <c r="H21" s="5" t="s">
        <v>57</v>
      </c>
    </row>
    <row r="22" customFormat="false" ht="15" hidden="false" customHeight="false" outlineLevel="0" collapsed="false">
      <c r="A22" s="5" t="s">
        <v>20</v>
      </c>
      <c r="B22" s="5" t="n">
        <v>13748</v>
      </c>
      <c r="C22" s="5" t="n">
        <v>323</v>
      </c>
      <c r="D22" s="5" t="s">
        <v>71</v>
      </c>
      <c r="E22" s="13" t="n">
        <v>46170</v>
      </c>
      <c r="F22" s="5" t="s">
        <v>78</v>
      </c>
      <c r="G22" s="13" t="n">
        <v>46170</v>
      </c>
      <c r="H22" s="5" t="s">
        <v>57</v>
      </c>
    </row>
    <row r="23" customFormat="false" ht="15" hidden="false" customHeight="false" outlineLevel="0" collapsed="false">
      <c r="A23" s="5" t="s">
        <v>20</v>
      </c>
      <c r="B23" s="5" t="n">
        <v>13796</v>
      </c>
      <c r="C23" s="5" t="n">
        <v>354</v>
      </c>
      <c r="D23" s="5" t="s">
        <v>71</v>
      </c>
      <c r="E23" s="13" t="n">
        <v>46196</v>
      </c>
      <c r="F23" s="5" t="s">
        <v>79</v>
      </c>
      <c r="G23" s="13" t="n">
        <v>46196</v>
      </c>
      <c r="H23" s="5" t="s">
        <v>57</v>
      </c>
    </row>
    <row r="24" customFormat="false" ht="15" hidden="false" customHeight="false" outlineLevel="0" collapsed="false">
      <c r="A24" s="5" t="s">
        <v>25</v>
      </c>
      <c r="B24" s="5" t="n">
        <v>13373</v>
      </c>
      <c r="C24" s="5" t="n">
        <v>80</v>
      </c>
      <c r="D24" s="5" t="s">
        <v>71</v>
      </c>
      <c r="E24" s="13" t="n">
        <v>46185</v>
      </c>
      <c r="F24" s="5" t="s">
        <v>80</v>
      </c>
      <c r="G24" s="5"/>
      <c r="H24" s="5" t="s">
        <v>81</v>
      </c>
    </row>
    <row r="25" customFormat="false" ht="15" hidden="false" customHeight="false" outlineLevel="0" collapsed="false">
      <c r="A25" s="5" t="s">
        <v>20</v>
      </c>
      <c r="B25" s="5" t="n">
        <v>13204</v>
      </c>
      <c r="C25" s="5" t="n">
        <v>185</v>
      </c>
      <c r="D25" s="5" t="s">
        <v>82</v>
      </c>
      <c r="E25" s="13" t="n">
        <v>46036</v>
      </c>
      <c r="F25" s="5" t="s">
        <v>83</v>
      </c>
      <c r="G25" s="13" t="n">
        <v>46036</v>
      </c>
      <c r="H25" s="5" t="s">
        <v>57</v>
      </c>
    </row>
    <row r="26" customFormat="false" ht="15" hidden="false" customHeight="false" outlineLevel="0" collapsed="false">
      <c r="A26" s="5" t="s">
        <v>20</v>
      </c>
      <c r="B26" s="5" t="n">
        <v>13397</v>
      </c>
      <c r="C26" s="5" t="n">
        <v>186</v>
      </c>
      <c r="D26" s="5" t="s">
        <v>82</v>
      </c>
      <c r="E26" s="13" t="n">
        <v>46037</v>
      </c>
      <c r="F26" s="5" t="s">
        <v>84</v>
      </c>
      <c r="G26" s="13" t="n">
        <v>46037</v>
      </c>
      <c r="H26" s="5" t="s">
        <v>57</v>
      </c>
    </row>
    <row r="27" customFormat="false" ht="15" hidden="false" customHeight="false" outlineLevel="0" collapsed="false">
      <c r="A27" s="5" t="s">
        <v>20</v>
      </c>
      <c r="B27" s="5" t="n">
        <v>13319</v>
      </c>
      <c r="C27" s="5" t="n">
        <v>190</v>
      </c>
      <c r="D27" s="5" t="s">
        <v>82</v>
      </c>
      <c r="E27" s="13" t="n">
        <v>46043</v>
      </c>
      <c r="F27" s="5" t="s">
        <v>64</v>
      </c>
      <c r="G27" s="13" t="n">
        <v>46043</v>
      </c>
      <c r="H27" s="5" t="s">
        <v>57</v>
      </c>
    </row>
    <row r="28" customFormat="false" ht="15" hidden="false" customHeight="false" outlineLevel="0" collapsed="false">
      <c r="A28" s="5" t="s">
        <v>20</v>
      </c>
      <c r="B28" s="5" t="n">
        <v>13442</v>
      </c>
      <c r="C28" s="5" t="n">
        <v>208</v>
      </c>
      <c r="D28" s="5" t="s">
        <v>82</v>
      </c>
      <c r="E28" s="13" t="n">
        <v>46072</v>
      </c>
      <c r="F28" s="5" t="s">
        <v>85</v>
      </c>
      <c r="G28" s="5"/>
      <c r="H28" s="5" t="s">
        <v>81</v>
      </c>
    </row>
    <row r="29" customFormat="false" ht="15" hidden="false" customHeight="false" outlineLevel="0" collapsed="false">
      <c r="A29" s="5" t="s">
        <v>20</v>
      </c>
      <c r="B29" s="5" t="n">
        <v>13413</v>
      </c>
      <c r="C29" s="5" t="n">
        <v>210</v>
      </c>
      <c r="D29" s="5" t="s">
        <v>82</v>
      </c>
      <c r="E29" s="13" t="n">
        <v>46076</v>
      </c>
      <c r="F29" s="5" t="s">
        <v>86</v>
      </c>
      <c r="G29" s="13" t="n">
        <v>46076</v>
      </c>
      <c r="H29" s="5" t="s">
        <v>75</v>
      </c>
    </row>
    <row r="30" customFormat="false" ht="15" hidden="false" customHeight="false" outlineLevel="0" collapsed="false">
      <c r="A30" s="5" t="s">
        <v>20</v>
      </c>
      <c r="B30" s="5" t="n">
        <v>13735</v>
      </c>
      <c r="C30" s="5" t="n">
        <v>314</v>
      </c>
      <c r="D30" s="5" t="s">
        <v>82</v>
      </c>
      <c r="E30" s="13" t="n">
        <v>46196</v>
      </c>
      <c r="F30" s="5" t="s">
        <v>79</v>
      </c>
      <c r="G30" s="13" t="n">
        <v>46196</v>
      </c>
      <c r="H30" s="5" t="s">
        <v>57</v>
      </c>
    </row>
    <row r="31" customFormat="false" ht="15" hidden="false" customHeight="false" outlineLevel="0" collapsed="false">
      <c r="A31" s="5" t="s">
        <v>20</v>
      </c>
      <c r="B31" s="5" t="n">
        <v>13804</v>
      </c>
      <c r="C31" s="5" t="n">
        <v>315</v>
      </c>
      <c r="D31" s="5" t="s">
        <v>82</v>
      </c>
      <c r="E31" s="13" t="n">
        <v>46196</v>
      </c>
      <c r="F31" s="5" t="s">
        <v>79</v>
      </c>
      <c r="G31" s="13" t="n">
        <v>46196</v>
      </c>
      <c r="H31" s="5" t="s">
        <v>57</v>
      </c>
    </row>
    <row r="32" customFormat="false" ht="15" hidden="false" customHeight="false" outlineLevel="0" collapsed="false">
      <c r="A32" s="5" t="s">
        <v>20</v>
      </c>
      <c r="B32" s="5" t="n">
        <v>13724</v>
      </c>
      <c r="C32" s="5" t="n">
        <v>316</v>
      </c>
      <c r="D32" s="5" t="s">
        <v>82</v>
      </c>
      <c r="E32" s="13" t="n">
        <v>46197</v>
      </c>
      <c r="F32" s="5" t="s">
        <v>58</v>
      </c>
      <c r="G32" s="13" t="n">
        <v>46197</v>
      </c>
      <c r="H32" s="5" t="s">
        <v>57</v>
      </c>
    </row>
    <row r="33" customFormat="false" ht="15" hidden="false" customHeight="false" outlineLevel="0" collapsed="false">
      <c r="A33" s="5" t="s">
        <v>20</v>
      </c>
      <c r="B33" s="5" t="n">
        <v>13689</v>
      </c>
      <c r="C33" s="5" t="n">
        <v>317</v>
      </c>
      <c r="D33" s="5" t="s">
        <v>82</v>
      </c>
      <c r="E33" s="13" t="n">
        <v>46197</v>
      </c>
      <c r="F33" s="5" t="s">
        <v>58</v>
      </c>
      <c r="G33" s="13" t="n">
        <v>46197</v>
      </c>
      <c r="H33" s="5" t="s">
        <v>57</v>
      </c>
    </row>
    <row r="34" customFormat="false" ht="15" hidden="false" customHeight="false" outlineLevel="0" collapsed="false">
      <c r="A34" s="5" t="s">
        <v>20</v>
      </c>
      <c r="B34" s="5" t="n">
        <v>13522</v>
      </c>
      <c r="C34" s="5" t="n">
        <v>318</v>
      </c>
      <c r="D34" s="5" t="s">
        <v>82</v>
      </c>
      <c r="E34" s="13" t="n">
        <v>46197</v>
      </c>
      <c r="F34" s="5" t="s">
        <v>58</v>
      </c>
      <c r="G34" s="13" t="n">
        <v>46197</v>
      </c>
      <c r="H34" s="5" t="s">
        <v>57</v>
      </c>
    </row>
    <row r="35" customFormat="false" ht="15" hidden="false" customHeight="false" outlineLevel="0" collapsed="false">
      <c r="A35" s="5" t="s">
        <v>20</v>
      </c>
      <c r="B35" s="5" t="n">
        <v>13709</v>
      </c>
      <c r="C35" s="5" t="n">
        <v>319</v>
      </c>
      <c r="D35" s="5" t="s">
        <v>82</v>
      </c>
      <c r="E35" s="13" t="n">
        <v>46197</v>
      </c>
      <c r="F35" s="5" t="s">
        <v>58</v>
      </c>
      <c r="G35" s="13" t="n">
        <v>46197</v>
      </c>
      <c r="H35" s="5" t="s">
        <v>57</v>
      </c>
    </row>
    <row r="36" customFormat="false" ht="15" hidden="false" customHeight="false" outlineLevel="0" collapsed="false">
      <c r="A36" s="5" t="s">
        <v>25</v>
      </c>
      <c r="B36" s="5" t="n">
        <v>13106</v>
      </c>
      <c r="C36" s="5" t="n">
        <v>30</v>
      </c>
      <c r="D36" s="5" t="s">
        <v>82</v>
      </c>
      <c r="E36" s="13" t="n">
        <v>46037</v>
      </c>
      <c r="F36" s="5" t="s">
        <v>84</v>
      </c>
      <c r="G36" s="13" t="n">
        <v>46037</v>
      </c>
      <c r="H36" s="5" t="s">
        <v>57</v>
      </c>
    </row>
    <row r="37" customFormat="false" ht="15" hidden="false" customHeight="false" outlineLevel="0" collapsed="false">
      <c r="A37" s="5" t="s">
        <v>25</v>
      </c>
      <c r="B37" s="5" t="n">
        <v>13173</v>
      </c>
      <c r="C37" s="5" t="n">
        <v>34</v>
      </c>
      <c r="D37" s="5" t="s">
        <v>82</v>
      </c>
      <c r="E37" s="13" t="n">
        <v>46043</v>
      </c>
      <c r="F37" s="5" t="s">
        <v>87</v>
      </c>
      <c r="G37" s="13" t="n">
        <v>46030</v>
      </c>
      <c r="H37" s="5" t="s">
        <v>88</v>
      </c>
    </row>
    <row r="38" customFormat="false" ht="15" hidden="false" customHeight="false" outlineLevel="0" collapsed="false">
      <c r="A38" s="5" t="s">
        <v>25</v>
      </c>
      <c r="B38" s="5" t="n">
        <v>12740</v>
      </c>
      <c r="C38" s="5" t="n">
        <v>36</v>
      </c>
      <c r="D38" s="5" t="s">
        <v>82</v>
      </c>
      <c r="E38" s="13" t="n">
        <v>46078</v>
      </c>
      <c r="F38" s="5" t="s">
        <v>84</v>
      </c>
      <c r="G38" s="5"/>
      <c r="H38" s="5" t="s">
        <v>89</v>
      </c>
    </row>
    <row r="39" customFormat="false" ht="15" hidden="false" customHeight="false" outlineLevel="0" collapsed="false">
      <c r="A39" s="5" t="s">
        <v>20</v>
      </c>
      <c r="B39" s="5" t="n">
        <v>13493</v>
      </c>
      <c r="C39" s="5" t="n">
        <v>240</v>
      </c>
      <c r="D39" s="5" t="s">
        <v>90</v>
      </c>
      <c r="E39" s="5"/>
      <c r="F39" s="5"/>
      <c r="G39" s="13" t="n">
        <v>46093</v>
      </c>
      <c r="H39" s="5" t="s">
        <v>91</v>
      </c>
    </row>
    <row r="40" customFormat="false" ht="15" hidden="false" customHeight="false" outlineLevel="0" collapsed="false">
      <c r="A40" s="5" t="s">
        <v>20</v>
      </c>
      <c r="B40" s="5" t="n">
        <v>13578</v>
      </c>
      <c r="C40" s="5" t="n">
        <v>241</v>
      </c>
      <c r="D40" s="5" t="s">
        <v>90</v>
      </c>
      <c r="E40" s="5"/>
      <c r="F40" s="5"/>
      <c r="G40" s="13" t="n">
        <v>46093</v>
      </c>
      <c r="H40" s="5" t="s">
        <v>91</v>
      </c>
    </row>
    <row r="41" customFormat="false" ht="15" hidden="false" customHeight="false" outlineLevel="0" collapsed="false">
      <c r="A41" s="5" t="s">
        <v>20</v>
      </c>
      <c r="B41" s="5" t="n">
        <v>14007</v>
      </c>
      <c r="C41" s="5" t="n">
        <v>414</v>
      </c>
      <c r="D41" s="5" t="s">
        <v>90</v>
      </c>
      <c r="E41" s="5"/>
      <c r="F41" s="5"/>
      <c r="G41" s="13" t="n">
        <v>46280</v>
      </c>
      <c r="H41" s="5" t="s">
        <v>91</v>
      </c>
    </row>
    <row r="42" customFormat="false" ht="15" hidden="false" customHeight="false" outlineLevel="0" collapsed="false">
      <c r="A42" s="5" t="s">
        <v>19</v>
      </c>
      <c r="B42" s="5" t="n">
        <v>701</v>
      </c>
      <c r="C42" s="5" t="n">
        <v>2</v>
      </c>
      <c r="D42" s="5" t="s">
        <v>82</v>
      </c>
      <c r="E42" s="13" t="n">
        <v>46045</v>
      </c>
      <c r="F42" s="5"/>
      <c r="G42" s="13" t="n">
        <v>46045</v>
      </c>
      <c r="H42" s="5" t="s">
        <v>92</v>
      </c>
    </row>
    <row r="43" customFormat="false" ht="15" hidden="false" customHeight="false" outlineLevel="0" collapsed="false">
      <c r="A43" s="5" t="s">
        <v>19</v>
      </c>
      <c r="B43" s="5" t="n">
        <v>5106</v>
      </c>
      <c r="C43" s="5" t="n">
        <v>3</v>
      </c>
      <c r="D43" s="5" t="s">
        <v>82</v>
      </c>
      <c r="E43" s="13" t="n">
        <v>45999</v>
      </c>
      <c r="F43" s="5"/>
      <c r="G43" s="13" t="n">
        <v>45999</v>
      </c>
      <c r="H43" s="5" t="s">
        <v>92</v>
      </c>
    </row>
    <row r="44" customFormat="false" ht="15" hidden="false" customHeight="false" outlineLevel="0" collapsed="false">
      <c r="A44" s="5" t="s">
        <v>24</v>
      </c>
      <c r="B44" s="5" t="n">
        <v>2133</v>
      </c>
      <c r="C44" s="5" t="n">
        <v>2068</v>
      </c>
      <c r="D44" s="5" t="s">
        <v>82</v>
      </c>
      <c r="E44" s="13" t="n">
        <v>45961</v>
      </c>
      <c r="F44" s="5"/>
      <c r="G44" s="13" t="n">
        <v>45961</v>
      </c>
      <c r="H44" s="5" t="s">
        <v>93</v>
      </c>
    </row>
    <row r="45" customFormat="false" ht="15" hidden="false" customHeight="false" outlineLevel="0" collapsed="false">
      <c r="A45" s="5" t="s">
        <v>24</v>
      </c>
      <c r="B45" s="5" t="n">
        <v>2140</v>
      </c>
      <c r="C45" s="5" t="n">
        <v>2092</v>
      </c>
      <c r="D45" s="5" t="s">
        <v>82</v>
      </c>
      <c r="E45" s="13" t="n">
        <v>46171</v>
      </c>
      <c r="F45" s="5"/>
      <c r="G45" s="13" t="n">
        <v>46171</v>
      </c>
      <c r="H45" s="5" t="s">
        <v>93</v>
      </c>
    </row>
    <row r="46" customFormat="false" ht="15" hidden="false" customHeight="false" outlineLevel="0" collapsed="false">
      <c r="A46" s="5" t="s">
        <v>24</v>
      </c>
      <c r="B46" s="5" t="n">
        <v>2162</v>
      </c>
      <c r="C46" s="5" t="n">
        <v>2096</v>
      </c>
      <c r="D46" s="5" t="s">
        <v>82</v>
      </c>
      <c r="E46" s="13" t="n">
        <v>46202</v>
      </c>
      <c r="F46" s="5"/>
      <c r="G46" s="13" t="n">
        <v>46202</v>
      </c>
      <c r="H46" s="5" t="s">
        <v>93</v>
      </c>
    </row>
    <row r="47" customFormat="false" ht="15" hidden="false" customHeight="false" outlineLevel="0" collapsed="false">
      <c r="A47" s="5" t="s">
        <v>24</v>
      </c>
      <c r="B47" s="5" t="n">
        <v>2172</v>
      </c>
      <c r="C47" s="5" t="n">
        <v>2103</v>
      </c>
      <c r="D47" s="5" t="s">
        <v>82</v>
      </c>
      <c r="E47" s="13" t="n">
        <v>46294</v>
      </c>
      <c r="F47" s="5"/>
      <c r="G47" s="13" t="n">
        <v>46294</v>
      </c>
      <c r="H47" s="5" t="s">
        <v>93</v>
      </c>
    </row>
    <row r="48" customFormat="false" ht="15" hidden="false" customHeight="false" outlineLevel="0" collapsed="false">
      <c r="A48" s="5" t="s">
        <v>17</v>
      </c>
      <c r="B48" s="5" t="n">
        <v>2166</v>
      </c>
      <c r="C48" s="5" t="n">
        <v>2100</v>
      </c>
      <c r="D48" s="5" t="s">
        <v>82</v>
      </c>
      <c r="E48" s="13" t="n">
        <v>46274</v>
      </c>
      <c r="F48" s="5"/>
      <c r="G48" s="13" t="n">
        <v>46274</v>
      </c>
      <c r="H48" s="5" t="s">
        <v>93</v>
      </c>
    </row>
    <row r="49" customFormat="false" ht="15" hidden="false" customHeight="false" outlineLevel="0" collapsed="false">
      <c r="A49" s="5" t="s">
        <v>17</v>
      </c>
      <c r="B49" s="5" t="n">
        <v>2167</v>
      </c>
      <c r="C49" s="5" t="n">
        <v>2101</v>
      </c>
      <c r="D49" s="5" t="s">
        <v>82</v>
      </c>
      <c r="E49" s="13" t="n">
        <v>46280</v>
      </c>
      <c r="F49" s="5"/>
      <c r="G49" s="13" t="n">
        <v>46280</v>
      </c>
      <c r="H49" s="5" t="s">
        <v>93</v>
      </c>
    </row>
    <row r="50" customFormat="false" ht="15" hidden="false" customHeight="false" outlineLevel="0" collapsed="false">
      <c r="A50" s="5" t="s">
        <v>17</v>
      </c>
      <c r="B50" s="5" t="n">
        <v>2168</v>
      </c>
      <c r="C50" s="5" t="n">
        <v>2102</v>
      </c>
      <c r="D50" s="5" t="s">
        <v>82</v>
      </c>
      <c r="E50" s="13" t="n">
        <v>46287</v>
      </c>
      <c r="F50" s="5"/>
      <c r="G50" s="13" t="n">
        <v>46287</v>
      </c>
      <c r="H50" s="5" t="s">
        <v>93</v>
      </c>
    </row>
    <row r="51" customFormat="false" ht="15" hidden="false" customHeight="false" outlineLevel="0" collapsed="false">
      <c r="A51" s="5" t="s">
        <v>17</v>
      </c>
      <c r="B51" s="5" t="n">
        <v>2172</v>
      </c>
      <c r="C51" s="5" t="n">
        <v>2103</v>
      </c>
      <c r="D51" s="5" t="s">
        <v>82</v>
      </c>
      <c r="E51" s="13" t="n">
        <v>46294</v>
      </c>
      <c r="F51" s="5"/>
      <c r="G51" s="13" t="n">
        <v>46294</v>
      </c>
      <c r="H51" s="5" t="s">
        <v>93</v>
      </c>
    </row>
    <row r="52" customFormat="false" ht="15" hidden="false" customHeight="false" outlineLevel="0" collapsed="false">
      <c r="A52" s="5" t="s">
        <v>20</v>
      </c>
      <c r="B52" s="5" t="n">
        <v>13410</v>
      </c>
      <c r="C52" s="5" t="n">
        <v>207</v>
      </c>
      <c r="D52" s="5" t="s">
        <v>82</v>
      </c>
      <c r="E52" s="13" t="n">
        <v>46072</v>
      </c>
      <c r="F52" s="5"/>
      <c r="G52" s="13" t="n">
        <v>46072</v>
      </c>
      <c r="H52" s="5" t="s">
        <v>93</v>
      </c>
    </row>
    <row r="53" customFormat="false" ht="15" hidden="false" customHeight="false" outlineLevel="0" collapsed="false">
      <c r="A53" s="5" t="s">
        <v>20</v>
      </c>
      <c r="B53" s="5" t="n">
        <v>13442</v>
      </c>
      <c r="C53" s="5" t="n">
        <v>208</v>
      </c>
      <c r="D53" s="5" t="s">
        <v>82</v>
      </c>
      <c r="E53" s="13" t="n">
        <v>46072</v>
      </c>
      <c r="F53" s="5"/>
      <c r="G53" s="13" t="n">
        <v>46072</v>
      </c>
      <c r="H53" s="5" t="s">
        <v>93</v>
      </c>
    </row>
    <row r="54" customFormat="false" ht="15" hidden="false" customHeight="false" outlineLevel="0" collapsed="false">
      <c r="A54" s="5" t="s">
        <v>20</v>
      </c>
      <c r="B54" s="5" t="n">
        <v>13485</v>
      </c>
      <c r="C54" s="5" t="n">
        <v>209</v>
      </c>
      <c r="D54" s="5" t="s">
        <v>82</v>
      </c>
      <c r="E54" s="13" t="n">
        <v>46072</v>
      </c>
      <c r="F54" s="5"/>
      <c r="G54" s="13" t="n">
        <v>46072</v>
      </c>
      <c r="H54" s="5" t="s">
        <v>93</v>
      </c>
    </row>
    <row r="55" customFormat="false" ht="15" hidden="false" customHeight="false" outlineLevel="0" collapsed="false">
      <c r="A55" s="5" t="s">
        <v>20</v>
      </c>
      <c r="B55" s="5" t="n">
        <v>13407</v>
      </c>
      <c r="C55" s="5" t="n">
        <v>216</v>
      </c>
      <c r="D55" s="5" t="s">
        <v>82</v>
      </c>
      <c r="E55" s="13" t="n">
        <v>46083</v>
      </c>
      <c r="F55" s="5"/>
      <c r="G55" s="13" t="n">
        <v>46083</v>
      </c>
      <c r="H55" s="5" t="s">
        <v>93</v>
      </c>
    </row>
    <row r="56" customFormat="false" ht="15" hidden="false" customHeight="false" outlineLevel="0" collapsed="false">
      <c r="A56" s="5" t="s">
        <v>20</v>
      </c>
      <c r="B56" s="5" t="n">
        <v>13686</v>
      </c>
      <c r="C56" s="5" t="n">
        <v>301</v>
      </c>
      <c r="D56" s="5" t="s">
        <v>82</v>
      </c>
      <c r="E56" s="13" t="n">
        <v>46178</v>
      </c>
      <c r="F56" s="5"/>
      <c r="G56" s="13" t="n">
        <v>46178</v>
      </c>
      <c r="H56" s="5" t="s">
        <v>93</v>
      </c>
    </row>
    <row r="57" customFormat="false" ht="15" hidden="false" customHeight="false" outlineLevel="0" collapsed="false">
      <c r="A57" s="5" t="s">
        <v>25</v>
      </c>
      <c r="B57" s="5" t="n">
        <v>12740</v>
      </c>
      <c r="C57" s="5" t="n">
        <v>36</v>
      </c>
      <c r="D57" s="5" t="s">
        <v>82</v>
      </c>
      <c r="E57" s="13" t="n">
        <v>46078</v>
      </c>
      <c r="F57" s="5"/>
      <c r="G57" s="13" t="n">
        <v>46078</v>
      </c>
      <c r="H57" s="5" t="s">
        <v>93</v>
      </c>
    </row>
    <row r="58" customFormat="false" ht="15" hidden="false" customHeight="false" outlineLevel="0" collapsed="false">
      <c r="A58" s="5" t="s">
        <v>25</v>
      </c>
      <c r="B58" s="5" t="n">
        <v>13248</v>
      </c>
      <c r="C58" s="5" t="n">
        <v>49</v>
      </c>
      <c r="D58" s="5" t="s">
        <v>82</v>
      </c>
      <c r="E58" s="13" t="n">
        <v>46153</v>
      </c>
      <c r="F58" s="5"/>
      <c r="G58" s="13" t="n">
        <v>46153</v>
      </c>
      <c r="H58" s="5" t="s">
        <v>93</v>
      </c>
    </row>
    <row r="59" customFormat="false" ht="15" hidden="false" customHeight="false" outlineLevel="0" collapsed="false">
      <c r="A59" s="5" t="s">
        <v>23</v>
      </c>
      <c r="B59" s="5" t="n">
        <v>166</v>
      </c>
      <c r="C59" s="5" t="n">
        <v>165</v>
      </c>
      <c r="D59" s="5" t="s">
        <v>82</v>
      </c>
      <c r="E59" s="13" t="n">
        <v>46293</v>
      </c>
      <c r="F59" s="5"/>
      <c r="G59" s="13" t="n">
        <v>46293</v>
      </c>
      <c r="H59" s="5" t="s">
        <v>93</v>
      </c>
    </row>
    <row r="60" customFormat="false" ht="15" hidden="false" customHeight="false" outlineLevel="0" collapsed="false">
      <c r="A60" s="5" t="s">
        <v>16</v>
      </c>
      <c r="B60" s="5" t="n">
        <v>165</v>
      </c>
      <c r="C60" s="5" t="n">
        <v>164</v>
      </c>
      <c r="D60" s="5" t="s">
        <v>82</v>
      </c>
      <c r="E60" s="13" t="n">
        <v>46281</v>
      </c>
      <c r="F60" s="5"/>
      <c r="G60" s="13" t="n">
        <v>46281</v>
      </c>
      <c r="H60" s="5" t="s">
        <v>93</v>
      </c>
    </row>
    <row r="61" customFormat="false" ht="15" hidden="false" customHeight="false" outlineLevel="0" collapsed="false">
      <c r="A61" s="5" t="s">
        <v>20</v>
      </c>
      <c r="B61" s="5" t="n">
        <v>13667</v>
      </c>
      <c r="C61" s="5" t="n">
        <v>285</v>
      </c>
      <c r="D61" s="5" t="s">
        <v>94</v>
      </c>
      <c r="E61" s="5"/>
      <c r="F61" s="5"/>
      <c r="G61" s="5"/>
      <c r="H61" s="5" t="s">
        <v>95</v>
      </c>
    </row>
    <row r="62" customFormat="false" ht="15" hidden="false" customHeight="false" outlineLevel="0" collapsed="false">
      <c r="A62" s="5" t="s">
        <v>96</v>
      </c>
      <c r="B62" s="5" t="s">
        <v>97</v>
      </c>
      <c r="C62" s="5"/>
      <c r="D62" s="5"/>
      <c r="E62" s="5"/>
      <c r="F62" s="5"/>
      <c r="G62" s="5"/>
      <c r="H62" s="5" t="s">
        <v>98</v>
      </c>
    </row>
  </sheetData>
  <autoFilter ref="A4:H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2026-10-18T21:55:41Z</dcterms:created>
  <dc:creator>openpyxl</dc:creator>
  <dc:description/>
  <dc:language>en-US</dc:language>
  <cp:lastModifiedBy/>
  <dcterms:modified xsi:type="dcterms:W3CDTF">2026-10-18T21:55:41Z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