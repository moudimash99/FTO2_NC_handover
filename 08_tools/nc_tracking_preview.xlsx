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nthly" sheetId="2" state="visible" r:id="rId2"/>
    <sheet xmlns:r="http://schemas.openxmlformats.org/officeDocument/2006/relationships" name="Weekly MFT topics" sheetId="3" state="visible" r:id="rId3"/>
    <sheet xmlns:r="http://schemas.openxmlformats.org/officeDocument/2006/relationships" name="Unlocked by FI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Defects per month, Jan–Aug 2026</a:t>
            </a:r>
          </a:p>
        </rich>
      </tx>
    </title>
    <plotArea>
      <barChart>
        <barDir val="col"/>
        <grouping val="clustered"/>
        <ser>
          <idx val="0"/>
          <order val="0"/>
          <tx>
            <strRef>
              <f>'Monthly'!B1</f>
            </strRef>
          </tx>
          <spPr>
            <a:ln xmlns:a="http://schemas.openxmlformats.org/drawingml/2006/main">
              <a:prstDash val="solid"/>
            </a:ln>
          </spPr>
          <cat>
            <numRef>
              <f>'Monthly'!$A$2:$A$9</f>
            </numRef>
          </cat>
          <val>
            <numRef>
              <f>'Monthly'!$B$2:$B$9</f>
            </numRef>
          </val>
        </ser>
        <ser>
          <idx val="1"/>
          <order val="1"/>
          <tx>
            <strRef>
              <f>'Monthly'!C1</f>
            </strRef>
          </tx>
          <spPr>
            <a:ln xmlns:a="http://schemas.openxmlformats.org/drawingml/2006/main">
              <a:prstDash val="solid"/>
            </a:ln>
          </spPr>
          <cat>
            <numRef>
              <f>'Monthly'!$A$2:$A$9</f>
            </numRef>
          </cat>
          <val>
            <numRef>
              <f>'Monthly'!$C$2:$C$9</f>
            </numRef>
          </val>
        </ser>
        <ser>
          <idx val="2"/>
          <order val="2"/>
          <tx>
            <strRef>
              <f>'Monthly'!D1</f>
            </strRef>
          </tx>
          <spPr>
            <a:ln xmlns:a="http://schemas.openxmlformats.org/drawingml/2006/main">
              <a:prstDash val="solid"/>
            </a:ln>
          </spPr>
          <cat>
            <numRef>
              <f>'Monthly'!$A$2:$A$9</f>
            </numRef>
          </cat>
          <val>
            <numRef>
              <f>'Monthly'!$D$2:$D$9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Defects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1</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10" customWidth="1" min="1" max="1"/>
  </cols>
  <sheetData>
    <row r="1">
      <c r="A1" s="1" t="inlineStr">
        <is>
          <t>NC tracking preview: MFT topics per week, three Pareto categories per month</t>
        </is>
      </c>
    </row>
    <row r="2">
      <c r="A2" s="2" t="inlineStr">
        <is>
          <t>Source: fto2_parsed_defects_v4_2.csv (876 NCs, 2,740 defects), both programs together: this file has no program column. The Slate SQL splits A350 / A330.</t>
        </is>
      </c>
    </row>
    <row r="3">
      <c r="A3" s="2" t="inlineStr">
        <is>
          <t>Dates: the defects file has no NC creation date, so each NC's date is estimated from its NC number, using the 468 dated NCs in the cable tracker as reference points. Tested on those 468: right week 95% of the time, right month 99%. In Skywise the SQL uses the real SAP creation date.</t>
        </is>
      </c>
    </row>
    <row r="4">
      <c r="A4" s="2" t="inlineStr">
        <is>
          <t>Period: 5 Jan to 7 Sep 2026. September only has its first week, so it is left out of the chart.</t>
        </is>
      </c>
    </row>
    <row r="5">
      <c r="A5" s="2" t="inlineStr">
        <is>
          <t>Unit: defects (individual faults inside an NC). A test list with ten swapped wires counts ten. NCs with a cable line are also given per month; they are almost the same as cable defects.</t>
        </is>
      </c>
    </row>
    <row r="6">
      <c r="A6" s="2" t="inlineStr">
        <is>
          <t>Categories do not overlap: if a defect is a cable problem it counts as a cable problem only (5 wiring errors are in that case).</t>
        </is>
      </c>
    </row>
    <row r="7">
      <c r="A7" s="2" t="inlineStr">
        <is>
          <t>Wiring errors = swapped wires + wrong pin. "Not connected" is excluded, as agreed.</t>
        </is>
      </c>
    </row>
    <row r="8">
      <c r="A8" s="2" t="inlineStr">
        <is>
          <t>Cables cut too short / damaged use the parser column etat_cable. 13 damaged cables have no state recorded there, so "Cables damaged" is a minimum.</t>
        </is>
      </c>
    </row>
    <row r="9">
      <c r="A9" s="2" t="inlineStr">
        <is>
          <t>July and August volumes are about half of the earlier months for every category (all NCs: 62 and 78 per month vs 90 to 147). That looks like lower activity, not an improvement. Compare rates per unit produced before judging an action.</t>
        </is>
      </c>
    </row>
    <row r="10">
      <c r="A10" s="2" t="inlineStr">
        <is>
          <t>Cable NC count: the Monthly column counts every NC with at least one cable defect (229 in total, including deleted NCs). 19 of those are test lists where only one line out of several is a cable. The cable team's tracker only holds NCs that are entirely about cables (nc_cable = CABLE): 210 on this data. Use 210-type counts to compare with their tracker. The Slate SQL (Q1) gives both, as cable_ncs and ncs_with_a_cable_line.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s>
  <sheetData>
    <row r="1">
      <c r="A1" s="3" t="inlineStr">
        <is>
          <t>Month</t>
        </is>
      </c>
      <c r="B1" s="3" t="inlineStr">
        <is>
          <t>Wiring errors</t>
        </is>
      </c>
      <c r="C1" s="3" t="inlineStr">
        <is>
          <t>Connectors not locked</t>
        </is>
      </c>
      <c r="D1" s="3" t="inlineStr">
        <is>
          <t>Cable problems</t>
        </is>
      </c>
      <c r="E1" s="3" t="inlineStr">
        <is>
          <t>NCs with a cable line</t>
        </is>
      </c>
      <c r="F1" s="3" t="inlineStr">
        <is>
          <t>All defects</t>
        </is>
      </c>
      <c r="G1" s="3" t="inlineStr">
        <is>
          <t>All NCs</t>
        </is>
      </c>
    </row>
    <row r="2">
      <c r="A2" s="4" t="inlineStr">
        <is>
          <t>2026-01</t>
        </is>
      </c>
      <c r="B2" s="4" t="n">
        <v>92</v>
      </c>
      <c r="C2" s="4" t="n">
        <v>25</v>
      </c>
      <c r="D2" s="4" t="n">
        <v>35</v>
      </c>
      <c r="E2" s="4" t="n">
        <v>31</v>
      </c>
      <c r="F2" s="4" t="n">
        <v>356</v>
      </c>
      <c r="G2" s="4" t="n">
        <v>116</v>
      </c>
    </row>
    <row r="3">
      <c r="A3" s="4" t="inlineStr">
        <is>
          <t>2026-02</t>
        </is>
      </c>
      <c r="B3" s="4" t="n">
        <v>81</v>
      </c>
      <c r="C3" s="4" t="n">
        <v>16</v>
      </c>
      <c r="D3" s="4" t="n">
        <v>28</v>
      </c>
      <c r="E3" s="4" t="n">
        <v>27</v>
      </c>
      <c r="F3" s="4" t="n">
        <v>382</v>
      </c>
      <c r="G3" s="4" t="n">
        <v>116</v>
      </c>
    </row>
    <row r="4">
      <c r="A4" s="4" t="inlineStr">
        <is>
          <t>2026-03</t>
        </is>
      </c>
      <c r="B4" s="4" t="n">
        <v>117</v>
      </c>
      <c r="C4" s="4" t="n">
        <v>13</v>
      </c>
      <c r="D4" s="4" t="n">
        <v>31</v>
      </c>
      <c r="E4" s="4" t="n">
        <v>30</v>
      </c>
      <c r="F4" s="4" t="n">
        <v>421</v>
      </c>
      <c r="G4" s="4" t="n">
        <v>147</v>
      </c>
    </row>
    <row r="5">
      <c r="A5" s="4" t="inlineStr">
        <is>
          <t>2026-04</t>
        </is>
      </c>
      <c r="B5" s="4" t="n">
        <v>137</v>
      </c>
      <c r="C5" s="4" t="n">
        <v>20</v>
      </c>
      <c r="D5" s="4" t="n">
        <v>36</v>
      </c>
      <c r="E5" s="4" t="n">
        <v>35</v>
      </c>
      <c r="F5" s="4" t="n">
        <v>402</v>
      </c>
      <c r="G5" s="4" t="n">
        <v>131</v>
      </c>
    </row>
    <row r="6">
      <c r="A6" s="4" t="inlineStr">
        <is>
          <t>2026-05</t>
        </is>
      </c>
      <c r="B6" s="4" t="n">
        <v>122</v>
      </c>
      <c r="C6" s="4" t="n">
        <v>13</v>
      </c>
      <c r="D6" s="4" t="n">
        <v>35</v>
      </c>
      <c r="E6" s="4" t="n">
        <v>35</v>
      </c>
      <c r="F6" s="4" t="n">
        <v>358</v>
      </c>
      <c r="G6" s="4" t="n">
        <v>90</v>
      </c>
    </row>
    <row r="7">
      <c r="A7" s="4" t="inlineStr">
        <is>
          <t>2026-06</t>
        </is>
      </c>
      <c r="B7" s="4" t="n">
        <v>97</v>
      </c>
      <c r="C7" s="4" t="n">
        <v>16</v>
      </c>
      <c r="D7" s="4" t="n">
        <v>29</v>
      </c>
      <c r="E7" s="4" t="n">
        <v>29</v>
      </c>
      <c r="F7" s="4" t="n">
        <v>373</v>
      </c>
      <c r="G7" s="4" t="n">
        <v>108</v>
      </c>
    </row>
    <row r="8">
      <c r="A8" s="4" t="inlineStr">
        <is>
          <t>2026-07</t>
        </is>
      </c>
      <c r="B8" s="4" t="n">
        <v>55</v>
      </c>
      <c r="C8" s="4" t="n">
        <v>16</v>
      </c>
      <c r="D8" s="4" t="n">
        <v>16</v>
      </c>
      <c r="E8" s="4" t="n">
        <v>16</v>
      </c>
      <c r="F8" s="4" t="n">
        <v>199</v>
      </c>
      <c r="G8" s="4" t="n">
        <v>62</v>
      </c>
    </row>
    <row r="9">
      <c r="A9" s="4" t="inlineStr">
        <is>
          <t>2026-08</t>
        </is>
      </c>
      <c r="B9" s="4" t="n">
        <v>44</v>
      </c>
      <c r="C9" s="4" t="n">
        <v>11</v>
      </c>
      <c r="D9" s="4" t="n">
        <v>16</v>
      </c>
      <c r="E9" s="4" t="n">
        <v>15</v>
      </c>
      <c r="F9" s="4" t="n">
        <v>167</v>
      </c>
      <c r="G9" s="4" t="n">
        <v>78</v>
      </c>
    </row>
    <row r="10">
      <c r="A10" s="4" t="inlineStr">
        <is>
          <t>2026-09</t>
        </is>
      </c>
      <c r="B10" s="4" t="n">
        <v>25</v>
      </c>
      <c r="C10" s="4" t="n">
        <v>3</v>
      </c>
      <c r="D10" s="4" t="n">
        <v>11</v>
      </c>
      <c r="E10" s="4" t="n">
        <v>11</v>
      </c>
      <c r="F10" s="4" t="n">
        <v>79</v>
      </c>
      <c r="G10" s="4" t="n">
        <v>25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3" t="inlineStr">
        <is>
          <t>ISO week</t>
        </is>
      </c>
      <c r="B1" s="3" t="inlineStr">
        <is>
          <t>Wiring errors &amp; inversions</t>
        </is>
      </c>
      <c r="C1" s="3" t="inlineStr">
        <is>
          <t>Connectors not locked</t>
        </is>
      </c>
      <c r="D1" s="3" t="inlineStr">
        <is>
          <t>Cables cut too short</t>
        </is>
      </c>
      <c r="E1" s="3" t="inlineStr">
        <is>
          <t>Cables damaged</t>
        </is>
      </c>
      <c r="F1" s="3" t="inlineStr">
        <is>
          <t>Damaged equipment 13CE/17CE</t>
        </is>
      </c>
      <c r="G1" s="3" t="inlineStr">
        <is>
          <t>Workmanship (all)</t>
        </is>
      </c>
      <c r="H1" s="3" t="inlineStr">
        <is>
          <t>Bonding</t>
        </is>
      </c>
    </row>
    <row r="2">
      <c r="A2" s="4" t="inlineStr">
        <is>
          <t>2026-W02</t>
        </is>
      </c>
      <c r="B2" s="4" t="n">
        <v>9</v>
      </c>
      <c r="C2" s="4" t="n">
        <v>6</v>
      </c>
      <c r="D2" s="4" t="n">
        <v>1</v>
      </c>
      <c r="E2" s="4" t="n">
        <v>1</v>
      </c>
      <c r="F2" s="4" t="n">
        <v>1</v>
      </c>
      <c r="G2" s="4" t="n">
        <v>17</v>
      </c>
      <c r="H2" s="4" t="n">
        <v>0</v>
      </c>
    </row>
    <row r="3">
      <c r="A3" s="4" t="inlineStr">
        <is>
          <t>2026-W03</t>
        </is>
      </c>
      <c r="B3" s="4" t="n">
        <v>19</v>
      </c>
      <c r="C3" s="4" t="n">
        <v>6</v>
      </c>
      <c r="D3" s="4" t="n">
        <v>2</v>
      </c>
      <c r="E3" s="4" t="n">
        <v>0</v>
      </c>
      <c r="F3" s="4" t="n">
        <v>0</v>
      </c>
      <c r="G3" s="4" t="n">
        <v>42</v>
      </c>
      <c r="H3" s="4" t="n">
        <v>6</v>
      </c>
    </row>
    <row r="4">
      <c r="A4" s="4" t="inlineStr">
        <is>
          <t>2026-W04</t>
        </is>
      </c>
      <c r="B4" s="4" t="n">
        <v>31</v>
      </c>
      <c r="C4" s="4" t="n">
        <v>3</v>
      </c>
      <c r="D4" s="4" t="n">
        <v>3</v>
      </c>
      <c r="E4" s="4" t="n">
        <v>3</v>
      </c>
      <c r="F4" s="4" t="n">
        <v>0</v>
      </c>
      <c r="G4" s="4" t="n">
        <v>32</v>
      </c>
      <c r="H4" s="4" t="n">
        <v>2</v>
      </c>
    </row>
    <row r="5">
      <c r="A5" s="4" t="inlineStr">
        <is>
          <t>2026-W05</t>
        </is>
      </c>
      <c r="B5" s="4" t="n">
        <v>33</v>
      </c>
      <c r="C5" s="4" t="n">
        <v>10</v>
      </c>
      <c r="D5" s="4" t="n">
        <v>3</v>
      </c>
      <c r="E5" s="4" t="n">
        <v>2</v>
      </c>
      <c r="F5" s="4" t="n">
        <v>0</v>
      </c>
      <c r="G5" s="4" t="n">
        <v>22</v>
      </c>
      <c r="H5" s="4" t="n">
        <v>0</v>
      </c>
    </row>
    <row r="6">
      <c r="A6" s="4" t="inlineStr">
        <is>
          <t>2026-W06</t>
        </is>
      </c>
      <c r="B6" s="4" t="n">
        <v>27</v>
      </c>
      <c r="C6" s="4" t="n">
        <v>4</v>
      </c>
      <c r="D6" s="4" t="n">
        <v>2</v>
      </c>
      <c r="E6" s="4" t="n">
        <v>1</v>
      </c>
      <c r="F6" s="4" t="n">
        <v>0</v>
      </c>
      <c r="G6" s="4" t="n">
        <v>31</v>
      </c>
      <c r="H6" s="4" t="n">
        <v>2</v>
      </c>
    </row>
    <row r="7">
      <c r="A7" s="4" t="inlineStr">
        <is>
          <t>2026-W07</t>
        </is>
      </c>
      <c r="B7" s="4" t="n">
        <v>17</v>
      </c>
      <c r="C7" s="4" t="n">
        <v>4</v>
      </c>
      <c r="D7" s="4" t="n">
        <v>1</v>
      </c>
      <c r="E7" s="4" t="n">
        <v>1</v>
      </c>
      <c r="F7" s="4" t="n">
        <v>0</v>
      </c>
      <c r="G7" s="4" t="n">
        <v>48</v>
      </c>
      <c r="H7" s="4" t="n">
        <v>0</v>
      </c>
    </row>
    <row r="8">
      <c r="A8" s="4" t="inlineStr">
        <is>
          <t>2026-W08</t>
        </is>
      </c>
      <c r="B8" s="4" t="n">
        <v>9</v>
      </c>
      <c r="C8" s="4" t="n">
        <v>2</v>
      </c>
      <c r="D8" s="4" t="n">
        <v>1</v>
      </c>
      <c r="E8" s="4" t="n">
        <v>2</v>
      </c>
      <c r="F8" s="4" t="n">
        <v>0</v>
      </c>
      <c r="G8" s="4" t="n">
        <v>39</v>
      </c>
      <c r="H8" s="4" t="n">
        <v>1</v>
      </c>
    </row>
    <row r="9">
      <c r="A9" s="4" t="inlineStr">
        <is>
          <t>2026-W09</t>
        </is>
      </c>
      <c r="B9" s="4" t="n">
        <v>28</v>
      </c>
      <c r="C9" s="4" t="n">
        <v>6</v>
      </c>
      <c r="D9" s="4" t="n">
        <v>2</v>
      </c>
      <c r="E9" s="4" t="n">
        <v>4</v>
      </c>
      <c r="F9" s="4" t="n">
        <v>0</v>
      </c>
      <c r="G9" s="4" t="n">
        <v>40</v>
      </c>
      <c r="H9" s="4" t="n">
        <v>0</v>
      </c>
    </row>
    <row r="10">
      <c r="A10" s="4" t="inlineStr">
        <is>
          <t>2026-W10</t>
        </is>
      </c>
      <c r="B10" s="4" t="n">
        <v>24</v>
      </c>
      <c r="C10" s="4" t="n">
        <v>4</v>
      </c>
      <c r="D10" s="4" t="n">
        <v>0</v>
      </c>
      <c r="E10" s="4" t="n">
        <v>0</v>
      </c>
      <c r="F10" s="4" t="n">
        <v>2</v>
      </c>
      <c r="G10" s="4" t="n">
        <v>17</v>
      </c>
      <c r="H10" s="4" t="n">
        <v>1</v>
      </c>
    </row>
    <row r="11">
      <c r="A11" s="4" t="inlineStr">
        <is>
          <t>2026-W11</t>
        </is>
      </c>
      <c r="B11" s="4" t="n">
        <v>20</v>
      </c>
      <c r="C11" s="4" t="n">
        <v>4</v>
      </c>
      <c r="D11" s="4" t="n">
        <v>1</v>
      </c>
      <c r="E11" s="4" t="n">
        <v>1</v>
      </c>
      <c r="F11" s="4" t="n">
        <v>0</v>
      </c>
      <c r="G11" s="4" t="n">
        <v>30</v>
      </c>
      <c r="H11" s="4" t="n">
        <v>3</v>
      </c>
    </row>
    <row r="12">
      <c r="A12" s="4" t="inlineStr">
        <is>
          <t>2026-W12</t>
        </is>
      </c>
      <c r="B12" s="4" t="n">
        <v>34</v>
      </c>
      <c r="C12" s="4" t="n">
        <v>2</v>
      </c>
      <c r="D12" s="4" t="n">
        <v>1</v>
      </c>
      <c r="E12" s="4" t="n">
        <v>1</v>
      </c>
      <c r="F12" s="4" t="n">
        <v>0</v>
      </c>
      <c r="G12" s="4" t="n">
        <v>48</v>
      </c>
      <c r="H12" s="4" t="n">
        <v>0</v>
      </c>
    </row>
    <row r="13">
      <c r="A13" s="4" t="inlineStr">
        <is>
          <t>2026-W13</t>
        </is>
      </c>
      <c r="B13" s="4" t="n">
        <v>33</v>
      </c>
      <c r="C13" s="4" t="n">
        <v>2</v>
      </c>
      <c r="D13" s="4" t="n">
        <v>4</v>
      </c>
      <c r="E13" s="4" t="n">
        <v>1</v>
      </c>
      <c r="F13" s="4" t="n">
        <v>0</v>
      </c>
      <c r="G13" s="4" t="n">
        <v>34</v>
      </c>
      <c r="H13" s="4" t="n">
        <v>3</v>
      </c>
    </row>
    <row r="14">
      <c r="A14" s="4" t="inlineStr">
        <is>
          <t>2026-W14</t>
        </is>
      </c>
      <c r="B14" s="4" t="n">
        <v>33</v>
      </c>
      <c r="C14" s="4" t="n">
        <v>5</v>
      </c>
      <c r="D14" s="4" t="n">
        <v>1</v>
      </c>
      <c r="E14" s="4" t="n">
        <v>1</v>
      </c>
      <c r="F14" s="4" t="n">
        <v>0</v>
      </c>
      <c r="G14" s="4" t="n">
        <v>29</v>
      </c>
      <c r="H14" s="4" t="n">
        <v>0</v>
      </c>
    </row>
    <row r="15">
      <c r="A15" s="4" t="inlineStr">
        <is>
          <t>2026-W15</t>
        </is>
      </c>
      <c r="B15" s="4" t="n">
        <v>33</v>
      </c>
      <c r="C15" s="4" t="n">
        <v>3</v>
      </c>
      <c r="D15" s="4" t="n">
        <v>0</v>
      </c>
      <c r="E15" s="4" t="n">
        <v>1</v>
      </c>
      <c r="F15" s="4" t="n">
        <v>0</v>
      </c>
      <c r="G15" s="4" t="n">
        <v>21</v>
      </c>
      <c r="H15" s="4" t="n">
        <v>1</v>
      </c>
    </row>
    <row r="16">
      <c r="A16" s="4" t="inlineStr">
        <is>
          <t>2026-W16</t>
        </is>
      </c>
      <c r="B16" s="4" t="n">
        <v>19</v>
      </c>
      <c r="C16" s="4" t="n">
        <v>2</v>
      </c>
      <c r="D16" s="4" t="n">
        <v>2</v>
      </c>
      <c r="E16" s="4" t="n">
        <v>3</v>
      </c>
      <c r="F16" s="4" t="n">
        <v>0</v>
      </c>
      <c r="G16" s="4" t="n">
        <v>30</v>
      </c>
      <c r="H16" s="4" t="n">
        <v>1</v>
      </c>
    </row>
    <row r="17">
      <c r="A17" s="4" t="inlineStr">
        <is>
          <t>2026-W17</t>
        </is>
      </c>
      <c r="B17" s="4" t="n">
        <v>28</v>
      </c>
      <c r="C17" s="4" t="n">
        <v>2</v>
      </c>
      <c r="D17" s="4" t="n">
        <v>5</v>
      </c>
      <c r="E17" s="4" t="n">
        <v>1</v>
      </c>
      <c r="F17" s="4" t="n">
        <v>0</v>
      </c>
      <c r="G17" s="4" t="n">
        <v>33</v>
      </c>
      <c r="H17" s="4" t="n">
        <v>7</v>
      </c>
    </row>
    <row r="18">
      <c r="A18" s="4" t="inlineStr">
        <is>
          <t>2026-W18</t>
        </is>
      </c>
      <c r="B18" s="4" t="n">
        <v>30</v>
      </c>
      <c r="C18" s="4" t="n">
        <v>9</v>
      </c>
      <c r="D18" s="4" t="n">
        <v>3</v>
      </c>
      <c r="E18" s="4" t="n">
        <v>0</v>
      </c>
      <c r="F18" s="4" t="n">
        <v>2</v>
      </c>
      <c r="G18" s="4" t="n">
        <v>30</v>
      </c>
      <c r="H18" s="4" t="n">
        <v>2</v>
      </c>
    </row>
    <row r="19">
      <c r="A19" s="4" t="inlineStr">
        <is>
          <t>2026-W19</t>
        </is>
      </c>
      <c r="B19" s="4" t="n">
        <v>28</v>
      </c>
      <c r="C19" s="4" t="n">
        <v>3</v>
      </c>
      <c r="D19" s="4" t="n">
        <v>1</v>
      </c>
      <c r="E19" s="4" t="n">
        <v>2</v>
      </c>
      <c r="F19" s="4" t="n">
        <v>0</v>
      </c>
      <c r="G19" s="4" t="n">
        <v>26</v>
      </c>
      <c r="H19" s="4" t="n">
        <v>4</v>
      </c>
    </row>
    <row r="20">
      <c r="A20" s="4" t="inlineStr">
        <is>
          <t>2026-W20</t>
        </is>
      </c>
      <c r="B20" s="4" t="n">
        <v>29</v>
      </c>
      <c r="C20" s="4" t="n">
        <v>3</v>
      </c>
      <c r="D20" s="4" t="n">
        <v>2</v>
      </c>
      <c r="E20" s="4" t="n">
        <v>0</v>
      </c>
      <c r="F20" s="4" t="n">
        <v>0</v>
      </c>
      <c r="G20" s="4" t="n">
        <v>18</v>
      </c>
      <c r="H20" s="4" t="n">
        <v>1</v>
      </c>
    </row>
    <row r="21">
      <c r="A21" s="4" t="inlineStr">
        <is>
          <t>2026-W21</t>
        </is>
      </c>
      <c r="B21" s="4" t="n">
        <v>42</v>
      </c>
      <c r="C21" s="4" t="n">
        <v>4</v>
      </c>
      <c r="D21" s="4" t="n">
        <v>7</v>
      </c>
      <c r="E21" s="4" t="n">
        <v>4</v>
      </c>
      <c r="F21" s="4" t="n">
        <v>0</v>
      </c>
      <c r="G21" s="4" t="n">
        <v>30</v>
      </c>
      <c r="H21" s="4" t="n">
        <v>0</v>
      </c>
    </row>
    <row r="22">
      <c r="A22" s="4" t="inlineStr">
        <is>
          <t>2026-W22</t>
        </is>
      </c>
      <c r="B22" s="4" t="n">
        <v>23</v>
      </c>
      <c r="C22" s="4" t="n">
        <v>3</v>
      </c>
      <c r="D22" s="4" t="n">
        <v>5</v>
      </c>
      <c r="E22" s="4" t="n">
        <v>1</v>
      </c>
      <c r="F22" s="4" t="n">
        <v>0</v>
      </c>
      <c r="G22" s="4" t="n">
        <v>30</v>
      </c>
      <c r="H22" s="4" t="n">
        <v>1</v>
      </c>
    </row>
    <row r="23">
      <c r="A23" s="4" t="inlineStr">
        <is>
          <t>2026-W23</t>
        </is>
      </c>
      <c r="B23" s="4" t="n">
        <v>36</v>
      </c>
      <c r="C23" s="4" t="n">
        <v>3</v>
      </c>
      <c r="D23" s="4" t="n">
        <v>5</v>
      </c>
      <c r="E23" s="4" t="n">
        <v>0</v>
      </c>
      <c r="F23" s="4" t="n">
        <v>0</v>
      </c>
      <c r="G23" s="4" t="n">
        <v>28</v>
      </c>
      <c r="H23" s="4" t="n">
        <v>1</v>
      </c>
    </row>
    <row r="24">
      <c r="A24" s="4" t="inlineStr">
        <is>
          <t>2026-W24</t>
        </is>
      </c>
      <c r="B24" s="4" t="n">
        <v>18</v>
      </c>
      <c r="C24" s="4" t="n">
        <v>2</v>
      </c>
      <c r="D24" s="4" t="n">
        <v>5</v>
      </c>
      <c r="E24" s="4" t="n">
        <v>1</v>
      </c>
      <c r="F24" s="4" t="n">
        <v>0</v>
      </c>
      <c r="G24" s="4" t="n">
        <v>29</v>
      </c>
      <c r="H24" s="4" t="n">
        <v>0</v>
      </c>
    </row>
    <row r="25">
      <c r="A25" s="4" t="inlineStr">
        <is>
          <t>2026-W25</t>
        </is>
      </c>
      <c r="B25" s="4" t="n">
        <v>26</v>
      </c>
      <c r="C25" s="4" t="n">
        <v>7</v>
      </c>
      <c r="D25" s="4" t="n">
        <v>2</v>
      </c>
      <c r="E25" s="4" t="n">
        <v>1</v>
      </c>
      <c r="F25" s="4" t="n">
        <v>0</v>
      </c>
      <c r="G25" s="4" t="n">
        <v>50</v>
      </c>
      <c r="H25" s="4" t="n">
        <v>1</v>
      </c>
    </row>
    <row r="26">
      <c r="A26" s="4" t="inlineStr">
        <is>
          <t>2026-W26</t>
        </is>
      </c>
      <c r="B26" s="4" t="n">
        <v>5</v>
      </c>
      <c r="C26" s="4" t="n">
        <v>4</v>
      </c>
      <c r="D26" s="4" t="n">
        <v>1</v>
      </c>
      <c r="E26" s="4" t="n">
        <v>1</v>
      </c>
      <c r="F26" s="4" t="n">
        <v>0</v>
      </c>
      <c r="G26" s="4" t="n">
        <v>25</v>
      </c>
      <c r="H26" s="4" t="n">
        <v>4</v>
      </c>
    </row>
    <row r="27">
      <c r="A27" s="4" t="inlineStr">
        <is>
          <t>2026-W27</t>
        </is>
      </c>
      <c r="B27" s="4" t="n">
        <v>32</v>
      </c>
      <c r="C27" s="4" t="n">
        <v>7</v>
      </c>
      <c r="D27" s="4" t="n">
        <v>2</v>
      </c>
      <c r="E27" s="4" t="n">
        <v>2</v>
      </c>
      <c r="F27" s="4" t="n">
        <v>0</v>
      </c>
      <c r="G27" s="4" t="n">
        <v>10</v>
      </c>
      <c r="H27" s="4" t="n">
        <v>0</v>
      </c>
    </row>
    <row r="28">
      <c r="A28" s="4" t="inlineStr">
        <is>
          <t>2026-W28</t>
        </is>
      </c>
      <c r="B28" s="4" t="n">
        <v>16</v>
      </c>
      <c r="C28" s="4" t="n">
        <v>0</v>
      </c>
      <c r="D28" s="4" t="n">
        <v>3</v>
      </c>
      <c r="E28" s="4" t="n">
        <v>1</v>
      </c>
      <c r="F28" s="4" t="n">
        <v>0</v>
      </c>
      <c r="G28" s="4" t="n">
        <v>18</v>
      </c>
      <c r="H28" s="4" t="n">
        <v>0</v>
      </c>
    </row>
    <row r="29">
      <c r="A29" s="4" t="inlineStr">
        <is>
          <t>2026-W29</t>
        </is>
      </c>
      <c r="B29" s="4" t="n">
        <v>8</v>
      </c>
      <c r="C29" s="4" t="n">
        <v>7</v>
      </c>
      <c r="D29" s="4" t="n">
        <v>1</v>
      </c>
      <c r="E29" s="4" t="n">
        <v>0</v>
      </c>
      <c r="F29" s="4" t="n">
        <v>0</v>
      </c>
      <c r="G29" s="4" t="n">
        <v>24</v>
      </c>
      <c r="H29" s="4" t="n">
        <v>2</v>
      </c>
    </row>
    <row r="30">
      <c r="A30" s="4" t="inlineStr">
        <is>
          <t>2026-W30</t>
        </is>
      </c>
      <c r="B30" s="4" t="n">
        <v>11</v>
      </c>
      <c r="C30" s="4" t="n">
        <v>2</v>
      </c>
      <c r="D30" s="4" t="n">
        <v>1</v>
      </c>
      <c r="E30" s="4" t="n">
        <v>1</v>
      </c>
      <c r="F30" s="4" t="n">
        <v>0</v>
      </c>
      <c r="G30" s="4" t="n">
        <v>27</v>
      </c>
      <c r="H30" s="4" t="n">
        <v>0</v>
      </c>
    </row>
    <row r="31">
      <c r="A31" s="4" t="inlineStr">
        <is>
          <t>2026-W31</t>
        </is>
      </c>
      <c r="B31" s="4" t="n">
        <v>0</v>
      </c>
      <c r="C31" s="4" t="n">
        <v>0</v>
      </c>
      <c r="D31" s="4" t="n">
        <v>0</v>
      </c>
      <c r="E31" s="4" t="n">
        <v>0</v>
      </c>
      <c r="F31" s="4" t="n">
        <v>0</v>
      </c>
      <c r="G31" s="4" t="n">
        <v>0</v>
      </c>
      <c r="H31" s="4" t="n">
        <v>0</v>
      </c>
    </row>
    <row r="32">
      <c r="A32" s="4" t="inlineStr">
        <is>
          <t>2026-W33</t>
        </is>
      </c>
      <c r="B32" s="4" t="n">
        <v>8</v>
      </c>
      <c r="C32" s="4" t="n">
        <v>3</v>
      </c>
      <c r="D32" s="4" t="n">
        <v>2</v>
      </c>
      <c r="E32" s="4" t="n">
        <v>0</v>
      </c>
      <c r="F32" s="4" t="n">
        <v>0</v>
      </c>
      <c r="G32" s="4" t="n">
        <v>2</v>
      </c>
      <c r="H32" s="4" t="n">
        <v>0</v>
      </c>
    </row>
    <row r="33">
      <c r="A33" s="4" t="inlineStr">
        <is>
          <t>2026-W34</t>
        </is>
      </c>
      <c r="B33" s="4" t="n">
        <v>25</v>
      </c>
      <c r="C33" s="4" t="n">
        <v>3</v>
      </c>
      <c r="D33" s="4" t="n">
        <v>3</v>
      </c>
      <c r="E33" s="4" t="n">
        <v>2</v>
      </c>
      <c r="F33" s="4" t="n">
        <v>0</v>
      </c>
      <c r="G33" s="4" t="n">
        <v>19</v>
      </c>
      <c r="H33" s="4" t="n">
        <v>4</v>
      </c>
    </row>
    <row r="34">
      <c r="A34" s="4" t="inlineStr">
        <is>
          <t>2026-W35</t>
        </is>
      </c>
      <c r="B34" s="4" t="n">
        <v>11</v>
      </c>
      <c r="C34" s="4" t="n">
        <v>4</v>
      </c>
      <c r="D34" s="4" t="n">
        <v>2</v>
      </c>
      <c r="E34" s="4" t="n">
        <v>2</v>
      </c>
      <c r="F34" s="4" t="n">
        <v>0</v>
      </c>
      <c r="G34" s="4" t="n">
        <v>17</v>
      </c>
      <c r="H34" s="4" t="n">
        <v>0</v>
      </c>
    </row>
    <row r="35">
      <c r="A35" s="4" t="inlineStr">
        <is>
          <t>2026-W36</t>
        </is>
      </c>
      <c r="B35" s="4" t="n">
        <v>19</v>
      </c>
      <c r="C35" s="4" t="n">
        <v>4</v>
      </c>
      <c r="D35" s="4" t="n">
        <v>3</v>
      </c>
      <c r="E35" s="4" t="n">
        <v>1</v>
      </c>
      <c r="F35" s="4" t="n">
        <v>0</v>
      </c>
      <c r="G35" s="4" t="n">
        <v>26</v>
      </c>
      <c r="H35" s="4" t="n">
        <v>2</v>
      </c>
    </row>
    <row r="36">
      <c r="A36" s="4" t="inlineStr">
        <is>
          <t>2026-W37</t>
        </is>
      </c>
      <c r="B36" s="4" t="n">
        <v>6</v>
      </c>
      <c r="C36" s="4" t="n">
        <v>0</v>
      </c>
      <c r="D36" s="4" t="n">
        <v>1</v>
      </c>
      <c r="E36" s="4" t="n">
        <v>3</v>
      </c>
      <c r="F36" s="4" t="n">
        <v>0</v>
      </c>
      <c r="G36" s="4" t="n">
        <v>4</v>
      </c>
      <c r="H36" s="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14" customWidth="1" min="4" max="4"/>
  </cols>
  <sheetData>
    <row r="1">
      <c r="A1" s="3" t="inlineStr">
        <is>
          <t>FIN family</t>
        </is>
      </c>
      <c r="B1" s="3" t="inlineStr">
        <is>
          <t>Defects</t>
        </is>
      </c>
      <c r="D1" s="5" t="inlineStr">
        <is>
          <t>FIN</t>
        </is>
      </c>
      <c r="E1" s="5" t="inlineStr">
        <is>
          <t>Defects</t>
        </is>
      </c>
    </row>
    <row r="2">
      <c r="A2" s="4" t="inlineStr">
        <is>
          <t>VG</t>
        </is>
      </c>
      <c r="B2" s="4" t="n">
        <v>37</v>
      </c>
      <c r="D2" s="4" t="inlineStr">
        <is>
          <t>100VG301</t>
        </is>
      </c>
      <c r="E2" s="4" t="n">
        <v>6</v>
      </c>
    </row>
    <row r="3">
      <c r="A3" s="4" t="inlineStr">
        <is>
          <t>VT</t>
        </is>
      </c>
      <c r="B3" s="4" t="n">
        <v>25</v>
      </c>
      <c r="D3" s="4" t="inlineStr">
        <is>
          <t>4715VB</t>
        </is>
      </c>
      <c r="E3" s="4" t="n">
        <v>6</v>
      </c>
    </row>
    <row r="4">
      <c r="A4" s="4" t="inlineStr">
        <is>
          <t>VC</t>
        </is>
      </c>
      <c r="B4" s="4" t="n">
        <v>16</v>
      </c>
      <c r="D4" s="4" t="inlineStr">
        <is>
          <t>300VT103</t>
        </is>
      </c>
      <c r="E4" s="4" t="n">
        <v>5</v>
      </c>
    </row>
    <row r="5">
      <c r="A5" s="4" t="inlineStr">
        <is>
          <t>RN</t>
        </is>
      </c>
      <c r="B5" s="4" t="n">
        <v>11</v>
      </c>
      <c r="D5" s="4" t="inlineStr">
        <is>
          <t>3RN1</t>
        </is>
      </c>
      <c r="E5" s="4" t="n">
        <v>5</v>
      </c>
    </row>
    <row r="6">
      <c r="A6" s="4" t="inlineStr">
        <is>
          <t>VB</t>
        </is>
      </c>
      <c r="B6" s="4" t="n">
        <v>8</v>
      </c>
      <c r="D6" s="4" t="inlineStr">
        <is>
          <t>100VG204</t>
        </is>
      </c>
      <c r="E6" s="4" t="n">
        <v>3</v>
      </c>
    </row>
    <row r="7">
      <c r="A7" s="4" t="inlineStr">
        <is>
          <t>(none)</t>
        </is>
      </c>
      <c r="B7" s="4" t="n">
        <v>3</v>
      </c>
      <c r="D7" s="4" t="inlineStr">
        <is>
          <t>300VT400</t>
        </is>
      </c>
      <c r="E7" s="4" t="n">
        <v>3</v>
      </c>
    </row>
    <row r="8">
      <c r="A8" s="4" t="inlineStr">
        <is>
          <t>WT</t>
        </is>
      </c>
      <c r="B8" s="4" t="n">
        <v>3</v>
      </c>
      <c r="D8" s="4" t="inlineStr">
        <is>
          <t>300VG101</t>
        </is>
      </c>
      <c r="E8" s="4" t="n">
        <v>3</v>
      </c>
    </row>
    <row r="9">
      <c r="A9" s="4" t="inlineStr">
        <is>
          <t>LE</t>
        </is>
      </c>
      <c r="B9" s="4" t="n">
        <v>3</v>
      </c>
      <c r="D9" s="4" t="inlineStr">
        <is>
          <t>300VG131</t>
        </is>
      </c>
      <c r="E9" s="4" t="n">
        <v>3</v>
      </c>
    </row>
    <row r="10">
      <c r="A10" s="4" t="inlineStr">
        <is>
          <t>XE</t>
        </is>
      </c>
      <c r="B10" s="4" t="n">
        <v>3</v>
      </c>
      <c r="D10" s="4" t="inlineStr">
        <is>
          <t>701VC</t>
        </is>
      </c>
      <c r="E10" s="4" t="n">
        <v>3</v>
      </c>
    </row>
    <row r="11">
      <c r="A11" s="4" t="inlineStr">
        <is>
          <t>PE</t>
        </is>
      </c>
      <c r="B11" s="4" t="n">
        <v>3</v>
      </c>
      <c r="D11" s="4" t="inlineStr">
        <is>
          <t>(none)</t>
        </is>
      </c>
      <c r="E11" s="4" t="n">
        <v>3</v>
      </c>
    </row>
    <row r="12">
      <c r="A12" s="4" t="inlineStr">
        <is>
          <t>CY</t>
        </is>
      </c>
      <c r="B12" s="4" t="n">
        <v>2</v>
      </c>
      <c r="D12" s="4" t="inlineStr">
        <is>
          <t>100VG430</t>
        </is>
      </c>
      <c r="E12" s="4" t="n">
        <v>3</v>
      </c>
    </row>
    <row r="13">
      <c r="A13" s="4" t="inlineStr">
        <is>
          <t>CV</t>
        </is>
      </c>
      <c r="B13" s="4" t="n">
        <v>2</v>
      </c>
      <c r="D13" s="4" t="inlineStr">
        <is>
          <t>300VG333</t>
        </is>
      </c>
      <c r="E13" s="4" t="n">
        <v>3</v>
      </c>
    </row>
    <row r="14">
      <c r="A14" s="4" t="inlineStr">
        <is>
          <t>CP</t>
        </is>
      </c>
      <c r="B14" s="4" t="n">
        <v>2</v>
      </c>
      <c r="D14" s="4" t="inlineStr">
        <is>
          <t>300VT303</t>
        </is>
      </c>
      <c r="E14" s="4" t="n">
        <v>2</v>
      </c>
    </row>
    <row r="15">
      <c r="A15" s="4" t="inlineStr">
        <is>
          <t>DG</t>
        </is>
      </c>
      <c r="B15" s="4" t="n">
        <v>2</v>
      </c>
      <c r="D15" s="4" t="inlineStr">
        <is>
          <t>7CY</t>
        </is>
      </c>
      <c r="E15" s="4" t="n">
        <v>2</v>
      </c>
    </row>
    <row r="16">
      <c r="A16" s="4" t="inlineStr">
        <is>
          <t>GG</t>
        </is>
      </c>
      <c r="B16" s="4" t="n">
        <v>2</v>
      </c>
      <c r="D16" s="4" t="inlineStr">
        <is>
          <t>51CV</t>
        </is>
      </c>
      <c r="E16" s="4" t="n">
        <v>2</v>
      </c>
    </row>
    <row r="17">
      <c r="A17" s="4" t="inlineStr">
        <is>
          <t>WE</t>
        </is>
      </c>
      <c r="B17" s="4" t="n">
        <v>2</v>
      </c>
    </row>
    <row r="18">
      <c r="A18" s="4" t="inlineStr">
        <is>
          <t>WK</t>
        </is>
      </c>
      <c r="B18" s="4" t="n">
        <v>1</v>
      </c>
    </row>
    <row r="19">
      <c r="A19" s="4" t="inlineStr">
        <is>
          <t>KS</t>
        </is>
      </c>
      <c r="B19" s="4" t="n">
        <v>1</v>
      </c>
    </row>
    <row r="20">
      <c r="A20" s="4" t="inlineStr">
        <is>
          <t>CE</t>
        </is>
      </c>
      <c r="B20" s="4" t="n">
        <v>1</v>
      </c>
    </row>
    <row r="21">
      <c r="A21" s="4" t="inlineStr">
        <is>
          <t>CB</t>
        </is>
      </c>
      <c r="B21" s="4" t="n">
        <v>1</v>
      </c>
    </row>
    <row r="22">
      <c r="A22" s="4" t="inlineStr">
        <is>
          <t>VU</t>
        </is>
      </c>
      <c r="B22" s="4" t="n">
        <v>1</v>
      </c>
    </row>
    <row r="23">
      <c r="A23" s="4" t="inlineStr">
        <is>
          <t>LB</t>
        </is>
      </c>
      <c r="B23" s="4" t="n">
        <v>1</v>
      </c>
    </row>
    <row r="24">
      <c r="A24" s="4" t="inlineStr">
        <is>
          <t>VH</t>
        </is>
      </c>
      <c r="B24" s="4" t="n">
        <v>1</v>
      </c>
    </row>
    <row r="25">
      <c r="A25" s="4" t="inlineStr">
        <is>
          <t>GC</t>
        </is>
      </c>
      <c r="B25" s="4" t="n">
        <v>1</v>
      </c>
    </row>
    <row r="26">
      <c r="A26" s="4" t="inlineStr">
        <is>
          <t>WR</t>
        </is>
      </c>
      <c r="B26" s="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2026-09-29T09:43:43Z</dcterms:created>
  <dcterms:modified xmlns:dcterms="http://purl.org/dc/terms/" xmlns:xsi="http://www.w3.org/2001/XMLSchema-instance" xsi:type="dcterms:W3CDTF">2026-09-29T09:43:43Z</dcterms:modified>
</cp:coreProperties>
</file>